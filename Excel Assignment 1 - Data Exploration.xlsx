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ASSIGNMENTS\"/>
    </mc:Choice>
  </mc:AlternateContent>
  <xr:revisionPtr revIDLastSave="0" documentId="13_ncr:1_{45A593D3-237A-4BA3-B3EE-4D870808F41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Dataset!$B$1:$B$1000</definedName>
  </definedNames>
  <calcPr calcId="124519"/>
  <extLst>
    <ext uri="GoogleSheetsCustomDataVersion2">
      <go:sheetsCustomData xmlns:go="http://customooxmlschemas.google.com/" r:id="" roundtripDataChecksum="xxdYPntQl+bO0ka4qHfhA4BnM4OowOuFpS2wlv4H/kM="/>
    </ext>
  </extLst>
</workbook>
</file>

<file path=xl/calcChain.xml><?xml version="1.0" encoding="utf-8"?>
<calcChain xmlns="http://schemas.openxmlformats.org/spreadsheetml/2006/main">
  <c r="M17" i="2" l="1"/>
  <c r="M8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" i="2"/>
  <c r="J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" i="2"/>
  <c r="I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  <c r="H2" i="2"/>
  <c r="M1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M13" i="2"/>
  <c r="M12" i="2"/>
  <c r="M9" i="2"/>
  <c r="M7" i="2"/>
</calcChain>
</file>

<file path=xl/sharedStrings.xml><?xml version="1.0" encoding="utf-8"?>
<sst xmlns="http://schemas.openxmlformats.org/spreadsheetml/2006/main" count="176" uniqueCount="124">
  <si>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</si>
  <si>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</si>
  <si>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</si>
  <si>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</si>
  <si>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</si>
  <si>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</si>
  <si>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</si>
  <si>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</si>
  <si>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</si>
  <si>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</si>
  <si>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</si>
  <si>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</si>
  <si>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</si>
  <si>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</si>
  <si>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</si>
  <si>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</si>
  <si>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</si>
  <si>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</si>
  <si>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</si>
  <si>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</si>
  <si>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</si>
  <si>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</si>
  <si>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</si>
  <si>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</si>
  <si>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</si>
  <si>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</si>
  <si>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</si>
  <si>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</si>
  <si>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</si>
  <si>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</si>
  <si>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</si>
  <si>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</si>
  <si>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</si>
  <si>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</si>
  <si>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</si>
  <si>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</si>
  <si>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</si>
  <si>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</si>
  <si>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</si>
  <si>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</si>
  <si>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</si>
  <si>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</si>
  <si>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</si>
  <si>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</si>
  <si>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</si>
  <si>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</si>
  <si>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</si>
  <si>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</si>
  <si>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</si>
  <si>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</si>
  <si>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</si>
  <si>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</si>
  <si>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</si>
  <si>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</si>
  <si>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</si>
  <si>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</si>
  <si>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</si>
  <si>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</si>
  <si>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</si>
  <si>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</si>
  <si>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</si>
  <si>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</si>
  <si>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</si>
  <si>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</si>
  <si>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</si>
  <si>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</si>
  <si>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</si>
  <si>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</si>
  <si>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</si>
  <si>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</si>
  <si>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</si>
  <si>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</si>
  <si>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</si>
  <si>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</si>
  <si>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</si>
  <si>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</si>
  <si>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</si>
  <si>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</si>
  <si>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</si>
  <si>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</si>
  <si>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</si>
  <si>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</si>
  <si>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</si>
  <si>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</si>
  <si>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</si>
  <si>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</si>
  <si>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</si>
  <si>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</si>
  <si>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</si>
  <si>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</si>
  <si>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</si>
  <si>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</si>
  <si>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</si>
  <si>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</si>
  <si>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</si>
  <si>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</si>
  <si>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</si>
  <si>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</si>
  <si>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</si>
  <si>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</si>
  <si>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</si>
  <si>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</si>
  <si>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</si>
  <si>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</si>
  <si>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</si>
  <si>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</si>
  <si>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</si>
  <si>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</si>
  <si>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</si>
  <si>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</si>
  <si>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 Of Total Price</t>
  </si>
  <si>
    <t>No.Of.Products</t>
  </si>
  <si>
    <t>Average Price</t>
  </si>
  <si>
    <t>IF Fuction</t>
  </si>
  <si>
    <t>Total Price For Electronics</t>
  </si>
  <si>
    <t>Count Of Ptoduct With A Price Less Than $100</t>
  </si>
  <si>
    <t>Product Minimum Price</t>
  </si>
  <si>
    <t>Product Maximum Price</t>
  </si>
  <si>
    <t>SUM,COUNT,AVERAGE</t>
  </si>
  <si>
    <t>MINIMUM&amp;MAXIMUM</t>
  </si>
  <si>
    <t>TOTAL</t>
  </si>
  <si>
    <t>SUMIF&amp;COUNTIF</t>
  </si>
  <si>
    <t>Product Country</t>
  </si>
  <si>
    <t>Product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</si>
</sst>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44" fontId="6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G1:J35" totalsRowShown="0" headerRowDxfId="26" dataDxfId="25">
  <tableColumns count="4">
    <tableColumn id="1" xr3:uid="{00000000-0010-0000-0000-000001000000}" name="IF Fuction" dataDxfId="24" dataCellStyle="Currency">
      <calculatedColumnFormula>IF(D2&gt;=500,"High Price","Standard Price")</calculatedColumnFormula>
    </tableColumn>
    <tableColumn id="2" xr3:uid="{00000000-0010-0000-0000-000002000000}" name="Product ID" dataDxfId="23">
      <calculatedColumnFormula>LEFT(A2,2)</calculatedColumnFormula>
    </tableColumn>
    <tableColumn id="3" xr3:uid="{00000000-0010-0000-0000-000003000000}" name="Product Country" dataDxfId="22">
      <calculatedColumnFormula>RIGHT(A2,2)</calculatedColumnFormula>
    </tableColumn>
    <tableColumn id="4" xr3:uid="{00000000-0010-0000-0000-000004000000}" name="Product Month" dataDxfId="21">
      <calculatedColumnFormula>MID(A2,4,3)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6:M9" totalsRowShown="0" headerRowDxfId="20" dataDxfId="18" headerRowBorderDxfId="19" tableBorderDxfId="17" totalsRowBorderDxfId="16">
  <tableColumns count="2">
    <tableColumn id="1" xr3:uid="{00000000-0010-0000-0100-000001000000}" name="SUM,COUNT,AVERAGE" dataDxfId="15"/>
    <tableColumn id="2" xr3:uid="{00000000-0010-0000-0100-000002000000}" name="TOTAL" dataDxfId="14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L11:M13" totalsRowShown="0" headerRowDxfId="13" dataDxfId="11" headerRowBorderDxfId="12" tableBorderDxfId="10" totalsRowBorderDxfId="9">
  <tableColumns count="2">
    <tableColumn id="1" xr3:uid="{00000000-0010-0000-0200-000001000000}" name="MINIMUM&amp;MAXIMUM" dataDxfId="8"/>
    <tableColumn id="2" xr3:uid="{00000000-0010-0000-0200-000002000000}" name="TOTAL" dataDxfId="7">
      <calculatedColumnFormula>MAX(D1:D34)</calculatedColumnFormula>
    </tableColumn>
  </tableColumns>
  <tableStyleInfo name="TableStyleMedium2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L15:M17" totalsRowShown="0" headerRowDxfId="6" dataDxfId="4" headerRowBorderDxfId="5" tableBorderDxfId="3" totalsRowBorderDxfId="2">
  <tableColumns count="2">
    <tableColumn id="1" xr3:uid="{00000000-0010-0000-0300-000001000000}" name="SUMIF&amp;COUNTIF" dataDxfId="1"/>
    <tableColumn id="2" xr3:uid="{00000000-0010-0000-0300-000002000000}" name="TOTAL" dataDxfId="0">
      <calculatedColumnFormula>COUNTIF(D1:D34,"$100")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8" workbookViewId="0">
      <selection activeCell="F24" sqref="F24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topLeftCell="H1" zoomScale="104" zoomScaleNormal="104" workbookViewId="0">
      <selection activeCell="M18" sqref="M18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  <col min="7" max="7" width="17.453125" style="14" customWidth="1"/>
    <col min="8" max="8" width="13.1796875" style="14" customWidth="1"/>
    <col min="9" max="9" width="15.90625" style="14" customWidth="1"/>
    <col min="10" max="10" width="15.453125" style="14" customWidth="1"/>
    <col min="12" max="12" width="40.7265625" customWidth="1"/>
    <col min="13" max="13" width="15" customWidth="1"/>
  </cols>
  <sheetData>
    <row r="1" spans="1:13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113</v>
      </c>
      <c r="H1" s="5" t="s">
        <v>17</v>
      </c>
      <c r="I1" s="5" t="s">
        <v>122</v>
      </c>
      <c r="J1" s="5" t="s">
        <v>123</v>
      </c>
      <c r="K1" s="5"/>
    </row>
    <row r="2" spans="1:13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20" t="str">
        <f>IF(D2&gt;=500,"High Price","Standard Price")</f>
        <v>High Price</v>
      </c>
      <c r="H2" s="14" t="str">
        <f>LEFT(A2,2)</f>
        <v>28</v>
      </c>
      <c r="I2" s="14" t="str">
        <f>RIGHT(A2,2)</f>
        <v>US</v>
      </c>
      <c r="J2" s="14" t="str">
        <f>MID(A2,4,3)</f>
        <v>JAN</v>
      </c>
    </row>
    <row r="3" spans="1:13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20" t="str">
        <f t="shared" ref="G3:G35" si="0">IF(D3&gt;=500,"High Price","Standard Price")</f>
        <v>Standard Price</v>
      </c>
      <c r="H3" s="14" t="str">
        <f>LEFT(A3,2)</f>
        <v>15</v>
      </c>
      <c r="I3" s="14" t="str">
        <f>RIGHT(A3,2)</f>
        <v>US</v>
      </c>
      <c r="J3" s="14" t="str">
        <f>MID(A3,4,3)</f>
        <v>FEB</v>
      </c>
    </row>
    <row r="4" spans="1:13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20" t="str">
        <f t="shared" si="0"/>
        <v>Standard Price</v>
      </c>
      <c r="H4" s="14" t="str">
        <f t="shared" ref="H4:H35" si="1">LEFT(A4,2)</f>
        <v>03</v>
      </c>
      <c r="I4" s="14" t="str">
        <f t="shared" ref="I4:I35" si="2">RIGHT(A4,2)</f>
        <v>US</v>
      </c>
      <c r="J4" s="14" t="str">
        <f t="shared" ref="J4:J35" si="3">MID(A4,4,3)</f>
        <v>MAR</v>
      </c>
    </row>
    <row r="5" spans="1:13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20" t="str">
        <f t="shared" si="0"/>
        <v>High Price</v>
      </c>
      <c r="H5" s="14" t="str">
        <f t="shared" si="1"/>
        <v>11</v>
      </c>
      <c r="I5" s="14" t="str">
        <f t="shared" si="2"/>
        <v>US</v>
      </c>
      <c r="J5" s="14" t="str">
        <f t="shared" si="3"/>
        <v>APR</v>
      </c>
    </row>
    <row r="6" spans="1:13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20" t="str">
        <f t="shared" si="0"/>
        <v>Standard Price</v>
      </c>
      <c r="H6" s="14" t="str">
        <f t="shared" si="1"/>
        <v>22</v>
      </c>
      <c r="I6" s="14" t="str">
        <f t="shared" si="2"/>
        <v>US</v>
      </c>
      <c r="J6" s="14" t="str">
        <f t="shared" si="3"/>
        <v>MAY</v>
      </c>
      <c r="L6" s="9" t="s">
        <v>118</v>
      </c>
      <c r="M6" s="17" t="s">
        <v>120</v>
      </c>
    </row>
    <row r="7" spans="1:13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20" t="str">
        <f t="shared" si="0"/>
        <v>Standard Price</v>
      </c>
      <c r="H7" s="14" t="str">
        <f t="shared" si="1"/>
        <v>07</v>
      </c>
      <c r="I7" s="14" t="str">
        <f t="shared" si="2"/>
        <v>UK</v>
      </c>
      <c r="J7" s="14" t="str">
        <f t="shared" si="3"/>
        <v>JUN</v>
      </c>
      <c r="L7" s="10" t="s">
        <v>110</v>
      </c>
      <c r="M7" s="11">
        <f>SUM(D2:D35)</f>
        <v>10100</v>
      </c>
    </row>
    <row r="8" spans="1:13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20" t="str">
        <f t="shared" si="0"/>
        <v>Standard Price</v>
      </c>
      <c r="H8" s="14" t="str">
        <f t="shared" si="1"/>
        <v>19</v>
      </c>
      <c r="I8" s="14" t="str">
        <f t="shared" si="2"/>
        <v>UK</v>
      </c>
      <c r="J8" s="14" t="str">
        <f t="shared" si="3"/>
        <v>JUL</v>
      </c>
      <c r="L8" s="10" t="s">
        <v>111</v>
      </c>
      <c r="M8" s="11">
        <f>COUNTA(B2:B35)</f>
        <v>34</v>
      </c>
    </row>
    <row r="9" spans="1:13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20" t="str">
        <f t="shared" si="0"/>
        <v>Standard Price</v>
      </c>
      <c r="H9" s="14" t="str">
        <f t="shared" si="1"/>
        <v>23</v>
      </c>
      <c r="I9" s="14" t="str">
        <f t="shared" si="2"/>
        <v>UK</v>
      </c>
      <c r="J9" s="14" t="str">
        <f t="shared" si="3"/>
        <v>AUG</v>
      </c>
      <c r="L9" s="12" t="s">
        <v>112</v>
      </c>
      <c r="M9" s="13">
        <f>AVERAGE(D2:D35)</f>
        <v>297.05882352941177</v>
      </c>
    </row>
    <row r="10" spans="1:13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20" t="str">
        <f t="shared" si="0"/>
        <v>High Price</v>
      </c>
      <c r="H10" s="14" t="str">
        <f t="shared" si="1"/>
        <v>05</v>
      </c>
      <c r="I10" s="14" t="str">
        <f t="shared" si="2"/>
        <v>UK</v>
      </c>
      <c r="J10" s="14" t="str">
        <f t="shared" si="3"/>
        <v>SEP</v>
      </c>
      <c r="L10" s="14"/>
      <c r="M10" s="14"/>
    </row>
    <row r="11" spans="1:13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20" t="str">
        <f t="shared" si="0"/>
        <v>Standard Price</v>
      </c>
      <c r="H11" s="14" t="str">
        <f t="shared" si="1"/>
        <v>14</v>
      </c>
      <c r="I11" s="14" t="str">
        <f t="shared" si="2"/>
        <v>UK</v>
      </c>
      <c r="J11" s="14" t="str">
        <f t="shared" si="3"/>
        <v>OCT</v>
      </c>
      <c r="L11" s="9" t="s">
        <v>119</v>
      </c>
      <c r="M11" s="17" t="s">
        <v>120</v>
      </c>
    </row>
    <row r="12" spans="1:13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20" t="str">
        <f t="shared" si="0"/>
        <v>High Price</v>
      </c>
      <c r="H12" s="14" t="str">
        <f t="shared" si="1"/>
        <v>17</v>
      </c>
      <c r="I12" s="14" t="str">
        <f t="shared" si="2"/>
        <v>IN</v>
      </c>
      <c r="J12" s="14" t="str">
        <f t="shared" si="3"/>
        <v>JUN</v>
      </c>
      <c r="L12" s="15" t="s">
        <v>116</v>
      </c>
      <c r="M12" s="11">
        <f>MIN(D2:D35)</f>
        <v>30</v>
      </c>
    </row>
    <row r="13" spans="1:13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20" t="str">
        <f t="shared" si="0"/>
        <v>Standard Price</v>
      </c>
      <c r="H13" s="14" t="str">
        <f t="shared" si="1"/>
        <v>25</v>
      </c>
      <c r="I13" s="14" t="str">
        <f t="shared" si="2"/>
        <v>AU</v>
      </c>
      <c r="J13" s="14" t="str">
        <f t="shared" si="3"/>
        <v>NOV</v>
      </c>
      <c r="L13" s="16" t="s">
        <v>117</v>
      </c>
      <c r="M13" s="13">
        <f>MAX(D2:D35)</f>
        <v>1000</v>
      </c>
    </row>
    <row r="14" spans="1:13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20" t="str">
        <f t="shared" si="0"/>
        <v>Standard Price</v>
      </c>
      <c r="H14" s="14" t="str">
        <f t="shared" si="1"/>
        <v>08</v>
      </c>
      <c r="I14" s="14" t="str">
        <f t="shared" si="2"/>
        <v>DE</v>
      </c>
      <c r="J14" s="14" t="str">
        <f t="shared" si="3"/>
        <v>DEC</v>
      </c>
      <c r="L14" s="14"/>
      <c r="M14" s="14"/>
    </row>
    <row r="15" spans="1:13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20" t="str">
        <f t="shared" si="0"/>
        <v>Standard Price</v>
      </c>
      <c r="H15" s="14" t="str">
        <f t="shared" si="1"/>
        <v>18</v>
      </c>
      <c r="I15" s="14" t="str">
        <f t="shared" si="2"/>
        <v>CA</v>
      </c>
      <c r="J15" s="14" t="str">
        <f t="shared" si="3"/>
        <v>FEB</v>
      </c>
      <c r="L15" s="9" t="s">
        <v>121</v>
      </c>
      <c r="M15" s="17" t="s">
        <v>120</v>
      </c>
    </row>
    <row r="16" spans="1:13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20" t="str">
        <f t="shared" si="0"/>
        <v>Standard Price</v>
      </c>
      <c r="H16" s="14" t="str">
        <f t="shared" si="1"/>
        <v>16</v>
      </c>
      <c r="I16" s="14" t="str">
        <f t="shared" si="2"/>
        <v>ES</v>
      </c>
      <c r="J16" s="14" t="str">
        <f t="shared" si="3"/>
        <v>APR</v>
      </c>
      <c r="L16" s="15" t="s">
        <v>114</v>
      </c>
      <c r="M16" s="11">
        <f>SUMIF(F2:F35,"ELECTRONICS",D2:D35)</f>
        <v>8050</v>
      </c>
    </row>
    <row r="17" spans="1:13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20" t="str">
        <f t="shared" si="0"/>
        <v>Standard Price</v>
      </c>
      <c r="H17" s="14" t="str">
        <f t="shared" si="1"/>
        <v>21</v>
      </c>
      <c r="I17" s="14" t="str">
        <f t="shared" si="2"/>
        <v>CA</v>
      </c>
      <c r="J17" s="14" t="str">
        <f t="shared" si="3"/>
        <v>AUG</v>
      </c>
      <c r="L17" s="18" t="s">
        <v>115</v>
      </c>
      <c r="M17" s="19">
        <f>COUNTIF(D2:D35,"&lt;100")</f>
        <v>11</v>
      </c>
    </row>
    <row r="18" spans="1:13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20" t="str">
        <f t="shared" si="0"/>
        <v>Standard Price</v>
      </c>
      <c r="H18" s="14" t="str">
        <f t="shared" si="1"/>
        <v>20</v>
      </c>
      <c r="I18" s="14" t="str">
        <f t="shared" si="2"/>
        <v>CN</v>
      </c>
      <c r="J18" s="14" t="str">
        <f t="shared" si="3"/>
        <v>AUG</v>
      </c>
    </row>
    <row r="19" spans="1:13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20" t="str">
        <f t="shared" si="0"/>
        <v>High Price</v>
      </c>
      <c r="H19" s="14" t="str">
        <f t="shared" si="1"/>
        <v>27</v>
      </c>
      <c r="I19" s="14" t="str">
        <f t="shared" si="2"/>
        <v>IT</v>
      </c>
      <c r="J19" s="14" t="str">
        <f t="shared" si="3"/>
        <v>JAN</v>
      </c>
    </row>
    <row r="20" spans="1:13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20" t="str">
        <f t="shared" si="0"/>
        <v>Standard Price</v>
      </c>
      <c r="H20" s="14" t="str">
        <f t="shared" si="1"/>
        <v>01</v>
      </c>
      <c r="I20" s="14" t="str">
        <f t="shared" si="2"/>
        <v>UK</v>
      </c>
      <c r="J20" s="14" t="str">
        <f t="shared" si="3"/>
        <v>MAR</v>
      </c>
    </row>
    <row r="21" spans="1:13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20" t="str">
        <f t="shared" si="0"/>
        <v>Standard Price</v>
      </c>
      <c r="H21" s="14" t="str">
        <f t="shared" si="1"/>
        <v>14</v>
      </c>
      <c r="I21" s="14" t="str">
        <f t="shared" si="2"/>
        <v>US</v>
      </c>
      <c r="J21" s="14" t="str">
        <f t="shared" si="3"/>
        <v>AUG</v>
      </c>
    </row>
    <row r="22" spans="1:13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20" t="str">
        <f t="shared" si="0"/>
        <v>High Price</v>
      </c>
      <c r="H22" s="14" t="str">
        <f t="shared" si="1"/>
        <v>14</v>
      </c>
      <c r="I22" s="14" t="str">
        <f t="shared" si="2"/>
        <v>RU</v>
      </c>
      <c r="J22" s="14" t="str">
        <f t="shared" si="3"/>
        <v>MAY</v>
      </c>
    </row>
    <row r="23" spans="1:13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20" t="str">
        <f t="shared" si="0"/>
        <v>Standard Price</v>
      </c>
      <c r="H23" s="14" t="str">
        <f t="shared" si="1"/>
        <v>09</v>
      </c>
      <c r="I23" s="14" t="str">
        <f t="shared" si="2"/>
        <v>CA</v>
      </c>
      <c r="J23" s="14" t="str">
        <f t="shared" si="3"/>
        <v>JAN</v>
      </c>
    </row>
    <row r="24" spans="1:13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20" t="str">
        <f t="shared" si="0"/>
        <v>Standard Price</v>
      </c>
      <c r="H24" s="14" t="str">
        <f t="shared" si="1"/>
        <v>19</v>
      </c>
      <c r="I24" s="14" t="str">
        <f t="shared" si="2"/>
        <v>BR</v>
      </c>
      <c r="J24" s="14" t="str">
        <f t="shared" si="3"/>
        <v>JUL</v>
      </c>
    </row>
    <row r="25" spans="1:13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20" t="str">
        <f t="shared" si="0"/>
        <v>Standard Price</v>
      </c>
      <c r="H25" s="14" t="str">
        <f t="shared" si="1"/>
        <v>21</v>
      </c>
      <c r="I25" s="14" t="str">
        <f t="shared" si="2"/>
        <v>CA</v>
      </c>
      <c r="J25" s="14" t="str">
        <f t="shared" si="3"/>
        <v>AUG</v>
      </c>
    </row>
    <row r="26" spans="1:13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20" t="str">
        <f t="shared" si="0"/>
        <v>High Price</v>
      </c>
      <c r="H26" s="14" t="str">
        <f t="shared" si="1"/>
        <v>29</v>
      </c>
      <c r="I26" s="14" t="str">
        <f t="shared" si="2"/>
        <v>CA</v>
      </c>
      <c r="J26" s="14" t="str">
        <f t="shared" si="3"/>
        <v>SEP</v>
      </c>
    </row>
    <row r="27" spans="1:13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20" t="str">
        <f t="shared" si="0"/>
        <v>Standard Price</v>
      </c>
      <c r="H27" s="14" t="str">
        <f t="shared" si="1"/>
        <v>03</v>
      </c>
      <c r="I27" s="14" t="str">
        <f t="shared" si="2"/>
        <v>CA</v>
      </c>
      <c r="J27" s="14" t="str">
        <f t="shared" si="3"/>
        <v>JUN</v>
      </c>
    </row>
    <row r="28" spans="1:13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20" t="str">
        <f t="shared" si="0"/>
        <v>Standard Price</v>
      </c>
      <c r="H28" s="14" t="str">
        <f t="shared" si="1"/>
        <v>11</v>
      </c>
      <c r="I28" s="14" t="str">
        <f t="shared" si="2"/>
        <v>CA</v>
      </c>
      <c r="J28" s="14" t="str">
        <f t="shared" si="3"/>
        <v>JUL</v>
      </c>
    </row>
    <row r="29" spans="1:13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20" t="str">
        <f t="shared" si="0"/>
        <v>Standard Price</v>
      </c>
      <c r="H29" s="14" t="str">
        <f t="shared" si="1"/>
        <v>16</v>
      </c>
      <c r="I29" s="14" t="str">
        <f t="shared" si="2"/>
        <v>ES</v>
      </c>
      <c r="J29" s="14" t="str">
        <f t="shared" si="3"/>
        <v>APR</v>
      </c>
    </row>
    <row r="30" spans="1:13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20" t="str">
        <f t="shared" si="0"/>
        <v>Standard Price</v>
      </c>
      <c r="H30" s="14" t="str">
        <f t="shared" si="1"/>
        <v>07</v>
      </c>
      <c r="I30" s="14" t="str">
        <f t="shared" si="2"/>
        <v>CA</v>
      </c>
      <c r="J30" s="14" t="str">
        <f t="shared" si="3"/>
        <v>MAR</v>
      </c>
    </row>
    <row r="31" spans="1:13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20" t="str">
        <f t="shared" si="0"/>
        <v>Standard Price</v>
      </c>
      <c r="H31" s="14" t="str">
        <f t="shared" si="1"/>
        <v>13</v>
      </c>
      <c r="I31" s="14" t="str">
        <f t="shared" si="2"/>
        <v>CA</v>
      </c>
      <c r="J31" s="14" t="str">
        <f t="shared" si="3"/>
        <v>APR</v>
      </c>
    </row>
    <row r="32" spans="1:13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20" t="str">
        <f t="shared" si="0"/>
        <v>Standard Price</v>
      </c>
      <c r="H32" s="14" t="str">
        <f t="shared" si="1"/>
        <v>24</v>
      </c>
      <c r="I32" s="14" t="str">
        <f t="shared" si="2"/>
        <v>CA</v>
      </c>
      <c r="J32" s="14" t="str">
        <f t="shared" si="3"/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20" t="str">
        <f t="shared" si="0"/>
        <v>Standard Price</v>
      </c>
      <c r="H33" s="14" t="str">
        <f t="shared" si="1"/>
        <v>02</v>
      </c>
      <c r="I33" s="14" t="str">
        <f t="shared" si="2"/>
        <v>CA</v>
      </c>
      <c r="J33" s="14" t="str">
        <f t="shared" si="3"/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20" t="str">
        <f t="shared" si="0"/>
        <v>High Price</v>
      </c>
      <c r="H34" s="14" t="str">
        <f t="shared" si="1"/>
        <v>17</v>
      </c>
      <c r="I34" s="14" t="str">
        <f t="shared" si="2"/>
        <v>IN</v>
      </c>
      <c r="J34" s="14" t="str">
        <f t="shared" si="3"/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20" t="str">
        <f t="shared" si="0"/>
        <v>Standard Price</v>
      </c>
      <c r="H35" s="14" t="str">
        <f t="shared" si="1"/>
        <v>09</v>
      </c>
      <c r="I35" s="14" t="str">
        <f t="shared" si="2"/>
        <v>FR</v>
      </c>
      <c r="J35" s="14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thilaga vathi</cp:lastModifiedBy>
  <dcterms:created xsi:type="dcterms:W3CDTF">2025-11-28T23:01:49Z</dcterms:created>
  <dcterms:modified xsi:type="dcterms:W3CDTF">2025-12-26T07:08:14Z</dcterms:modified>
</cp:coreProperties>
</file>