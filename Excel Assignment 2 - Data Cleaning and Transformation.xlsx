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ASSIGNMENTS\"/>
    </mc:Choice>
  </mc:AlternateContent>
  <xr:revisionPtr revIDLastSave="0" documentId="13_ncr:1_{154AF2AF-9CE0-437F-BCE7-384B1E85740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structions" sheetId="1" r:id="rId1"/>
    <sheet name="Dataset" sheetId="2" r:id="rId2"/>
    <sheet name="Duplicate Data" sheetId="3" r:id="rId3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U4" i="2" l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" i="2"/>
  <c r="AB8" i="2" l="1"/>
  <c r="AB7" i="2"/>
  <c r="J3" i="2"/>
  <c r="K3" i="2" s="1"/>
  <c r="I3" i="2"/>
  <c r="L3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" i="2"/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</calcChain>
</file>

<file path=xl/sharedStrings.xml><?xml version="1.0" encoding="utf-8"?>
<sst xmlns="http://schemas.openxmlformats.org/spreadsheetml/2006/main" count="402" uniqueCount="150">
  <si>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</si>
  <si>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</si>
  <si>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</si>
  <si>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</si>
  <si>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</si>
  <si>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</si>
  <si>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</si>
  <si>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</si>
  <si>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</si>
  <si>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</si>
  <si>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</si>
  <si>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</si>
  <si>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</si>
  <si>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</si>
  <si>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</si>
  <si>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</si>
  <si>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</si>
  <si>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</si>
  <si>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</si>
  <si>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</si>
  <si>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</si>
  <si>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</si>
  <si>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</si>
  <si>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</si>
  <si>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</si>
  <si>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</si>
  <si>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</si>
  <si>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</si>
  <si>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</si>
  <si>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</si>
  <si>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</si>
  <si>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</si>
  <si>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</si>
  <si>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</si>
  <si>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</si>
  <si>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</si>
  <si>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</si>
  <si>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</si>
  <si>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</si>
  <si>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</si>
  <si>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</si>
  <si>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</si>
  <si>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</si>
  <si>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</si>
  <si>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</si>
  <si>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</si>
  <si>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</si>
  <si>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</si>
  <si>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</si>
  <si>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</si>
  <si>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</si>
  <si>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</si>
  <si>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</si>
  <si>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</si>
  <si>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</si>
  <si>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</si>
  <si>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</si>
  <si>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</si>
  <si>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</si>
  <si>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</si>
  <si>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</si>
  <si>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</si>
  <si>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</si>
  <si>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</si>
  <si>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</si>
  <si>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</si>
  <si>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</si>
  <si>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</si>
  <si>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</si>
  <si>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</si>
  <si>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</si>
  <si>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</si>
  <si>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</si>
  <si>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</si>
  <si>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</si>
  <si>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</si>
  <si>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</si>
  <si>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</si>
  <si>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</si>
  <si>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</si>
  <si>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</si>
  <si>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</si>
  <si>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</si>
  <si>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</si>
  <si>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</si>
  <si>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</si>
  <si>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</si>
  <si>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</si>
  <si>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</si>
  <si>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</si>
  <si>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</si>
  <si>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</si>
  <si>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</si>
  <si>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</si>
  <si>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</si>
  <si>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</si>
  <si>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</si>
  <si>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</si>
  <si>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</si>
  <si>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</si>
  <si>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</si>
  <si>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</si>
  <si>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</si>
  <si>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</si>
  <si>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</si>
  <si>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</si>
  <si>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</si>
  <si>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</si>
  <si>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</si>
  <si>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</si>
  <si>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</si>
  <si>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</si>
  <si>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</si>
  <si>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</si>
  <si>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</si>
  <si>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</si>
  <si>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</si>
  <si>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</si>
  <si>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</si>
  <si>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</si>
  <si>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</si>
  <si>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</si>
  <si>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</si>
  <si>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</si>
  <si>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</si>
  <si>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</si>
  <si>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</si>
  <si>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</si>
  <si>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unknown</t>
  </si>
  <si>
    <t>Missing Price Assumed</t>
  </si>
  <si>
    <t>Missing Price Round Of</t>
  </si>
  <si>
    <t>Price Fixed</t>
  </si>
  <si>
    <t xml:space="preserve"> Price Imputation</t>
  </si>
  <si>
    <t>Handling Missing Values</t>
  </si>
  <si>
    <t>How Many category Coloumn Blank</t>
  </si>
  <si>
    <t>How Many Price Coloumn Blank</t>
  </si>
  <si>
    <t>Inconsistent Product Name</t>
  </si>
  <si>
    <t>Category Imputation</t>
  </si>
  <si>
    <t>MissSeplling Category</t>
  </si>
  <si>
    <t>Spiltting &amp; Merging</t>
  </si>
  <si>
    <t>Manufacturing Date</t>
  </si>
  <si>
    <t>Country Code</t>
  </si>
  <si>
    <t>Product Brand</t>
  </si>
  <si>
    <t>electronics</t>
  </si>
  <si>
    <t>Number Formating &amp; Conditional Formating</t>
  </si>
  <si>
    <t>Manufacturing Date &amp; Year</t>
  </si>
  <si>
    <t>Highlight Of Electronics</t>
  </si>
  <si>
    <t>Correcting Inconsistent Data</t>
  </si>
  <si>
    <t>Assignment - II</t>
  </si>
  <si>
    <t>Category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</si>
</sst>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\-mm\-yyyy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8"/>
      <color rgb="FFFF0000"/>
      <name val="Algerian"/>
      <family val="5"/>
    </font>
    <font>
      <sz val="18"/>
      <color rgb="FF000000"/>
      <name val="Algerian"/>
      <family val="5"/>
    </font>
    <font>
      <sz val="18"/>
      <color rgb="FF7030A0"/>
      <name val="Algerian"/>
      <family val="5"/>
    </font>
    <font>
      <sz val="18"/>
      <color theme="7" tint="-0.499984740745262"/>
      <name val="Algerian"/>
      <family val="5"/>
    </font>
    <font>
      <sz val="18"/>
      <color rgb="FFFF66CC"/>
      <name val="Algerian"/>
      <family val="5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Algerian"/>
      <family val="5"/>
    </font>
  </fonts>
  <fills count="1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rgb="FF0070C0"/>
        <bgColor rgb="FF4DD0E1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rgb="FF4DD0E1"/>
      </patternFill>
    </fill>
    <fill>
      <patternFill patternType="solid">
        <fgColor theme="5" tint="-0.249977111117893"/>
        <bgColor rgb="FF4DD0E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3" borderId="0" xfId="0" applyFont="1" applyFill="1"/>
    <xf numFmtId="165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14" fillId="9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5" fillId="12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65" fontId="14" fillId="6" borderId="0" xfId="0" applyNumberFormat="1" applyFont="1" applyFill="1" applyAlignment="1">
      <alignment horizontal="center" vertical="center" wrapText="1"/>
    </xf>
    <xf numFmtId="16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" fontId="5" fillId="13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vertical="center" wrapText="1"/>
    </xf>
    <xf numFmtId="0" fontId="16" fillId="0" borderId="0" xfId="0" applyFont="1" applyAlignment="1">
      <alignment horizontal="center"/>
    </xf>
    <xf numFmtId="0" fontId="9" fillId="5" borderId="7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/>
        <color theme="5" tint="-0.24994659260841701"/>
      </font>
    </dxf>
    <dxf>
      <font>
        <b/>
        <i/>
        <color theme="5" tint="-0.24994659260841701"/>
      </font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activeCell="D27" sqref="D2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topLeftCell="V1" workbookViewId="0">
      <selection activeCell="Z2" sqref="Z2"/>
    </sheetView>
  </sheetViews>
  <sheetFormatPr defaultColWidth="12.6328125" defaultRowHeight="15" customHeight="1" x14ac:dyDescent="0.25"/>
  <cols>
    <col min="1" max="6" width="12.6328125" customWidth="1"/>
    <col min="15" max="15" width="16.1796875" customWidth="1"/>
    <col min="16" max="16" width="17.08984375" customWidth="1"/>
    <col min="17" max="17" width="25.81640625" customWidth="1"/>
    <col min="19" max="19" width="15.08984375" customWidth="1"/>
    <col min="20" max="20" width="17.7265625" customWidth="1"/>
    <col min="21" max="21" width="26.36328125" customWidth="1"/>
    <col min="22" max="22" width="12.54296875" customWidth="1"/>
    <col min="23" max="23" width="24.36328125" customWidth="1"/>
    <col min="24" max="24" width="19.90625" style="8" customWidth="1"/>
    <col min="25" max="25" width="24.7265625" customWidth="1"/>
    <col min="27" max="27" width="43.81640625" customWidth="1"/>
  </cols>
  <sheetData>
    <row r="1" spans="1:28" s="10" customFormat="1" ht="50" customHeight="1" thickBot="1" x14ac:dyDescent="0.65">
      <c r="A1" s="46" t="s">
        <v>148</v>
      </c>
      <c r="B1" s="46"/>
      <c r="C1" s="46"/>
      <c r="D1" s="46"/>
      <c r="E1" s="46"/>
      <c r="F1" s="46"/>
      <c r="I1" s="42" t="s">
        <v>133</v>
      </c>
      <c r="J1" s="42"/>
      <c r="K1" s="42"/>
      <c r="L1" s="42"/>
      <c r="M1" s="42"/>
      <c r="N1" s="11"/>
      <c r="O1" s="43" t="s">
        <v>147</v>
      </c>
      <c r="P1" s="43"/>
      <c r="Q1" s="43"/>
      <c r="R1" s="13"/>
      <c r="S1" s="44" t="s">
        <v>139</v>
      </c>
      <c r="T1" s="44"/>
      <c r="U1" s="44"/>
      <c r="V1" s="14"/>
      <c r="W1" s="45" t="s">
        <v>144</v>
      </c>
      <c r="X1" s="45"/>
      <c r="Y1" s="45"/>
    </row>
    <row r="2" spans="1:28" ht="40" customHeight="1" x14ac:dyDescent="0.25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I2" s="15" t="s">
        <v>129</v>
      </c>
      <c r="J2" s="16" t="s">
        <v>132</v>
      </c>
      <c r="K2" s="16" t="s">
        <v>130</v>
      </c>
      <c r="L2" s="17" t="s">
        <v>131</v>
      </c>
      <c r="M2" s="39" t="s">
        <v>149</v>
      </c>
      <c r="O2" s="24" t="s">
        <v>136</v>
      </c>
      <c r="P2" s="24" t="s">
        <v>137</v>
      </c>
      <c r="Q2" s="25" t="s">
        <v>138</v>
      </c>
      <c r="R2" s="10"/>
      <c r="S2" s="28" t="s">
        <v>140</v>
      </c>
      <c r="T2" s="28" t="s">
        <v>141</v>
      </c>
      <c r="U2" s="29" t="s">
        <v>142</v>
      </c>
      <c r="V2" s="30"/>
      <c r="W2" s="31" t="s">
        <v>22</v>
      </c>
      <c r="X2" s="32" t="s">
        <v>145</v>
      </c>
      <c r="Y2" s="40" t="s">
        <v>146</v>
      </c>
    </row>
    <row r="3" spans="1:28" ht="15.75" customHeight="1" x14ac:dyDescent="0.25">
      <c r="A3" s="5" t="s">
        <v>25</v>
      </c>
      <c r="B3" s="5" t="s">
        <v>26</v>
      </c>
      <c r="C3" s="5" t="s">
        <v>27</v>
      </c>
      <c r="D3" s="5">
        <v>1000</v>
      </c>
      <c r="E3" s="5">
        <v>30</v>
      </c>
      <c r="F3" s="5" t="s">
        <v>28</v>
      </c>
      <c r="I3" s="18" t="b">
        <f t="shared" ref="I3:I36" si="0">ISBLANK(D3)</f>
        <v>0</v>
      </c>
      <c r="J3" s="19">
        <f t="shared" ref="J3:J36" si="1">IF(ISBLANK(D3),AVERAGE($D$3:$D$36),D3)</f>
        <v>1000</v>
      </c>
      <c r="K3" s="19">
        <f>ROUND(J3,0)</f>
        <v>1000</v>
      </c>
      <c r="L3" s="19">
        <f t="shared" ref="L3:L36" si="2">IF(ISBLANK(D3),ROUND(AVERAGEIF($F$3:$F$36,F3,$D$3:$D$36),0),D3)</f>
        <v>1000</v>
      </c>
      <c r="M3" s="20" t="str">
        <f t="shared" ref="M3:M36" si="3">IF(ISBLANK(F3),"unknown",F3)</f>
        <v>Electronics</v>
      </c>
      <c r="O3" s="26" t="str">
        <f t="shared" ref="O3:O36" si="4">PROPER(B3)</f>
        <v>Laptop</v>
      </c>
      <c r="P3" s="26" t="str">
        <f>IF(ISBLANK(F3),"unknown",F3)</f>
        <v>Electronics</v>
      </c>
      <c r="Q3" s="26" t="s">
        <v>28</v>
      </c>
      <c r="S3" s="33">
        <v>45685</v>
      </c>
      <c r="T3" s="34" t="s">
        <v>116</v>
      </c>
      <c r="U3" s="34" t="str">
        <f>CONCATENATE(B3," - ",C3)</f>
        <v>laptop - Dell</v>
      </c>
      <c r="V3" s="12"/>
      <c r="W3" s="35">
        <v>1000</v>
      </c>
      <c r="X3" s="36">
        <v>45685</v>
      </c>
      <c r="Y3" s="12" t="s">
        <v>28</v>
      </c>
    </row>
    <row r="4" spans="1:28" ht="15.75" customHeight="1" x14ac:dyDescent="0.25">
      <c r="A4" s="7" t="s">
        <v>29</v>
      </c>
      <c r="B4" s="7" t="s">
        <v>30</v>
      </c>
      <c r="C4" s="7" t="s">
        <v>31</v>
      </c>
      <c r="D4" s="7">
        <v>80</v>
      </c>
      <c r="E4" s="7">
        <v>15</v>
      </c>
      <c r="F4" s="7" t="s">
        <v>32</v>
      </c>
      <c r="I4" s="18" t="b">
        <f t="shared" si="0"/>
        <v>0</v>
      </c>
      <c r="J4" s="19">
        <f t="shared" si="1"/>
        <v>80</v>
      </c>
      <c r="K4" s="19">
        <f t="shared" ref="K4:K36" si="5">ROUND(J4,0)</f>
        <v>80</v>
      </c>
      <c r="L4" s="19">
        <f t="shared" si="2"/>
        <v>80</v>
      </c>
      <c r="M4" s="20" t="str">
        <f t="shared" si="3"/>
        <v>Fashion</v>
      </c>
      <c r="O4" s="26" t="str">
        <f t="shared" si="4"/>
        <v>Sneakers</v>
      </c>
      <c r="P4" s="26" t="str">
        <f t="shared" ref="P4:P36" si="6">IF(ISBLANK(F4),"unknown",F4)</f>
        <v>Fashion</v>
      </c>
      <c r="Q4" s="27" t="s">
        <v>32</v>
      </c>
      <c r="R4" s="5"/>
      <c r="S4" s="37">
        <v>45703</v>
      </c>
      <c r="T4" s="34" t="s">
        <v>116</v>
      </c>
      <c r="U4" s="34" t="str">
        <f t="shared" ref="U4:U36" si="7">CONCATENATE(B4," - ",C4)</f>
        <v>Sneakers - Nike</v>
      </c>
      <c r="V4" s="12"/>
      <c r="W4" s="35">
        <v>80</v>
      </c>
      <c r="X4" s="38">
        <v>45703</v>
      </c>
      <c r="Y4" s="12" t="s">
        <v>32</v>
      </c>
    </row>
    <row r="5" spans="1:28" ht="15.75" customHeight="1" x14ac:dyDescent="0.25">
      <c r="A5" s="5" t="s">
        <v>33</v>
      </c>
      <c r="B5" s="5" t="s">
        <v>34</v>
      </c>
      <c r="C5" s="5" t="s">
        <v>35</v>
      </c>
      <c r="D5" s="5">
        <v>130</v>
      </c>
      <c r="E5" s="5">
        <v>40</v>
      </c>
      <c r="F5" s="5" t="s">
        <v>36</v>
      </c>
      <c r="I5" s="18" t="b">
        <f t="shared" si="0"/>
        <v>0</v>
      </c>
      <c r="J5" s="19">
        <f t="shared" si="1"/>
        <v>130</v>
      </c>
      <c r="K5" s="19">
        <f t="shared" si="5"/>
        <v>130</v>
      </c>
      <c r="L5" s="19">
        <f t="shared" si="2"/>
        <v>130</v>
      </c>
      <c r="M5" s="20" t="str">
        <f t="shared" si="3"/>
        <v>Kitchen</v>
      </c>
      <c r="O5" s="26" t="str">
        <f t="shared" si="4"/>
        <v>Coffee Maker</v>
      </c>
      <c r="P5" s="26" t="str">
        <f t="shared" si="6"/>
        <v>Kitchen</v>
      </c>
      <c r="Q5" s="27" t="s">
        <v>36</v>
      </c>
      <c r="R5" s="5"/>
      <c r="S5" s="37">
        <v>45719</v>
      </c>
      <c r="T5" s="34" t="s">
        <v>116</v>
      </c>
      <c r="U5" s="34" t="str">
        <f t="shared" si="7"/>
        <v>Coffee Maker - Keurig</v>
      </c>
      <c r="V5" s="12"/>
      <c r="W5" s="35">
        <v>130</v>
      </c>
      <c r="X5" s="38">
        <v>45719</v>
      </c>
      <c r="Y5" s="12" t="s">
        <v>36</v>
      </c>
    </row>
    <row r="6" spans="1:28" ht="15.75" customHeight="1" x14ac:dyDescent="0.25">
      <c r="A6" s="7" t="s">
        <v>37</v>
      </c>
      <c r="B6" s="7" t="s">
        <v>38</v>
      </c>
      <c r="C6" s="7" t="s">
        <v>39</v>
      </c>
      <c r="D6" s="7">
        <v>900</v>
      </c>
      <c r="E6" s="7">
        <v>25</v>
      </c>
      <c r="F6" s="7" t="s">
        <v>28</v>
      </c>
      <c r="I6" s="18" t="b">
        <f t="shared" si="0"/>
        <v>0</v>
      </c>
      <c r="J6" s="19">
        <f t="shared" si="1"/>
        <v>900</v>
      </c>
      <c r="K6" s="19">
        <f t="shared" si="5"/>
        <v>900</v>
      </c>
      <c r="L6" s="19">
        <f t="shared" si="2"/>
        <v>900</v>
      </c>
      <c r="M6" s="20" t="str">
        <f t="shared" si="3"/>
        <v>Electronics</v>
      </c>
      <c r="O6" s="26" t="str">
        <f t="shared" si="4"/>
        <v>Smartphone</v>
      </c>
      <c r="P6" s="26" t="str">
        <f t="shared" si="6"/>
        <v>Electronics</v>
      </c>
      <c r="Q6" s="27" t="s">
        <v>28</v>
      </c>
      <c r="R6" s="5"/>
      <c r="S6" s="37">
        <v>45758</v>
      </c>
      <c r="T6" s="34" t="s">
        <v>116</v>
      </c>
      <c r="U6" s="34" t="str">
        <f t="shared" si="7"/>
        <v>smartphone - Samsung</v>
      </c>
      <c r="V6" s="12"/>
      <c r="W6" s="35">
        <v>900</v>
      </c>
      <c r="X6" s="38">
        <v>45758</v>
      </c>
      <c r="Y6" s="12" t="s">
        <v>28</v>
      </c>
    </row>
    <row r="7" spans="1:28" ht="15.75" customHeight="1" x14ac:dyDescent="0.4">
      <c r="A7" s="5" t="s">
        <v>40</v>
      </c>
      <c r="B7" s="5" t="s">
        <v>41</v>
      </c>
      <c r="C7" s="5" t="s">
        <v>42</v>
      </c>
      <c r="D7" s="5">
        <v>70</v>
      </c>
      <c r="E7" s="5">
        <v>20</v>
      </c>
      <c r="F7" s="5"/>
      <c r="I7" s="18" t="b">
        <f t="shared" si="0"/>
        <v>0</v>
      </c>
      <c r="J7" s="19">
        <f t="shared" si="1"/>
        <v>70</v>
      </c>
      <c r="K7" s="19">
        <f t="shared" si="5"/>
        <v>70</v>
      </c>
      <c r="L7" s="19">
        <f t="shared" si="2"/>
        <v>70</v>
      </c>
      <c r="M7" s="20" t="str">
        <f t="shared" si="3"/>
        <v>unknown</v>
      </c>
      <c r="O7" s="26" t="str">
        <f t="shared" si="4"/>
        <v>Backpack</v>
      </c>
      <c r="P7" s="26" t="str">
        <f t="shared" si="6"/>
        <v>unknown</v>
      </c>
      <c r="Q7" s="26"/>
      <c r="S7" s="33">
        <v>45799</v>
      </c>
      <c r="T7" s="34" t="s">
        <v>116</v>
      </c>
      <c r="U7" s="34" t="str">
        <f t="shared" si="7"/>
        <v>Backpack - North Face</v>
      </c>
      <c r="V7" s="12"/>
      <c r="W7" s="35">
        <v>70</v>
      </c>
      <c r="X7" s="36">
        <v>45799</v>
      </c>
      <c r="Y7" s="12" t="s">
        <v>128</v>
      </c>
      <c r="AA7" s="41" t="s">
        <v>134</v>
      </c>
      <c r="AB7" s="41">
        <f>COUNTBLANK(F3:F36)</f>
        <v>4</v>
      </c>
    </row>
    <row r="8" spans="1:28" ht="15.75" customHeight="1" x14ac:dyDescent="0.4">
      <c r="A8" s="7" t="s">
        <v>43</v>
      </c>
      <c r="B8" s="7" t="s">
        <v>44</v>
      </c>
      <c r="C8" s="7" t="s">
        <v>45</v>
      </c>
      <c r="D8" s="7"/>
      <c r="E8" s="7">
        <v>45</v>
      </c>
      <c r="F8" s="7" t="s">
        <v>46</v>
      </c>
      <c r="I8" s="18" t="b">
        <f t="shared" si="0"/>
        <v>1</v>
      </c>
      <c r="J8" s="19">
        <f t="shared" si="1"/>
        <v>309.35483870967744</v>
      </c>
      <c r="K8" s="19">
        <f t="shared" si="5"/>
        <v>309</v>
      </c>
      <c r="L8" s="19">
        <f t="shared" si="2"/>
        <v>203</v>
      </c>
      <c r="M8" s="20" t="str">
        <f t="shared" si="3"/>
        <v>Electroni</v>
      </c>
      <c r="O8" s="26" t="str">
        <f t="shared" si="4"/>
        <v>Headphones</v>
      </c>
      <c r="P8" s="26" t="str">
        <f t="shared" si="6"/>
        <v>Electroni</v>
      </c>
      <c r="Q8" s="26" t="s">
        <v>28</v>
      </c>
      <c r="S8" s="33">
        <v>45815</v>
      </c>
      <c r="T8" s="34" t="s">
        <v>117</v>
      </c>
      <c r="U8" s="34" t="str">
        <f t="shared" si="7"/>
        <v>Headphones - Sony</v>
      </c>
      <c r="V8" s="12"/>
      <c r="W8" s="35">
        <v>203</v>
      </c>
      <c r="X8" s="36">
        <v>45815</v>
      </c>
      <c r="Y8" s="12" t="s">
        <v>143</v>
      </c>
      <c r="AA8" s="41" t="s">
        <v>135</v>
      </c>
      <c r="AB8" s="41">
        <f>COUNTBLANK(D3:D36)</f>
        <v>3</v>
      </c>
    </row>
    <row r="9" spans="1:28" ht="15.75" customHeight="1" x14ac:dyDescent="0.25">
      <c r="A9" s="5" t="s">
        <v>47</v>
      </c>
      <c r="B9" s="5" t="s">
        <v>48</v>
      </c>
      <c r="C9" s="5" t="s">
        <v>49</v>
      </c>
      <c r="D9" s="5">
        <v>30</v>
      </c>
      <c r="E9" s="5">
        <v>5</v>
      </c>
      <c r="F9" s="5" t="s">
        <v>32</v>
      </c>
      <c r="I9" s="18" t="b">
        <f t="shared" si="0"/>
        <v>0</v>
      </c>
      <c r="J9" s="19">
        <f t="shared" si="1"/>
        <v>30</v>
      </c>
      <c r="K9" s="19">
        <f t="shared" si="5"/>
        <v>30</v>
      </c>
      <c r="L9" s="19">
        <f t="shared" si="2"/>
        <v>30</v>
      </c>
      <c r="M9" s="20" t="str">
        <f t="shared" si="3"/>
        <v>Fashion</v>
      </c>
      <c r="O9" s="26" t="str">
        <f t="shared" si="4"/>
        <v>T-Shirt</v>
      </c>
      <c r="P9" s="26" t="str">
        <f t="shared" si="6"/>
        <v>Fashion</v>
      </c>
      <c r="Q9" s="26" t="s">
        <v>32</v>
      </c>
      <c r="S9" s="33">
        <v>45857</v>
      </c>
      <c r="T9" s="34" t="s">
        <v>117</v>
      </c>
      <c r="U9" s="34" t="str">
        <f t="shared" si="7"/>
        <v>T-shirt - Adidas</v>
      </c>
      <c r="V9" s="12"/>
      <c r="W9" s="35">
        <v>30</v>
      </c>
      <c r="X9" s="36">
        <v>45857</v>
      </c>
      <c r="Y9" s="12" t="s">
        <v>32</v>
      </c>
    </row>
    <row r="10" spans="1:28" ht="15.75" customHeight="1" x14ac:dyDescent="0.25">
      <c r="A10" s="7" t="s">
        <v>50</v>
      </c>
      <c r="B10" s="7" t="s">
        <v>51</v>
      </c>
      <c r="C10" s="7" t="s">
        <v>52</v>
      </c>
      <c r="D10" s="7">
        <v>90</v>
      </c>
      <c r="E10" s="7">
        <v>35</v>
      </c>
      <c r="F10" s="7" t="s">
        <v>36</v>
      </c>
      <c r="I10" s="18" t="b">
        <f t="shared" si="0"/>
        <v>0</v>
      </c>
      <c r="J10" s="19">
        <f t="shared" si="1"/>
        <v>90</v>
      </c>
      <c r="K10" s="19">
        <f t="shared" si="5"/>
        <v>90</v>
      </c>
      <c r="L10" s="19">
        <f t="shared" si="2"/>
        <v>90</v>
      </c>
      <c r="M10" s="20" t="str">
        <f t="shared" si="3"/>
        <v>Kitchen</v>
      </c>
      <c r="O10" s="26" t="str">
        <f t="shared" si="4"/>
        <v>Blender</v>
      </c>
      <c r="P10" s="26" t="str">
        <f t="shared" si="6"/>
        <v>Kitchen</v>
      </c>
      <c r="Q10" s="26" t="s">
        <v>36</v>
      </c>
      <c r="S10" s="33">
        <v>45892</v>
      </c>
      <c r="T10" s="34" t="s">
        <v>117</v>
      </c>
      <c r="U10" s="34" t="str">
        <f t="shared" si="7"/>
        <v>Blender - Ninja</v>
      </c>
      <c r="V10" s="12"/>
      <c r="W10" s="35">
        <v>90</v>
      </c>
      <c r="X10" s="36">
        <v>45892</v>
      </c>
      <c r="Y10" s="12" t="s">
        <v>36</v>
      </c>
    </row>
    <row r="11" spans="1:28" ht="15.75" customHeight="1" x14ac:dyDescent="0.25">
      <c r="A11" s="5" t="s">
        <v>53</v>
      </c>
      <c r="B11" s="5" t="s">
        <v>54</v>
      </c>
      <c r="C11" s="5" t="s">
        <v>55</v>
      </c>
      <c r="D11" s="5">
        <v>500</v>
      </c>
      <c r="E11" s="5">
        <v>50</v>
      </c>
      <c r="F11" s="5" t="s">
        <v>28</v>
      </c>
      <c r="I11" s="18" t="b">
        <f t="shared" si="0"/>
        <v>0</v>
      </c>
      <c r="J11" s="19">
        <f t="shared" si="1"/>
        <v>500</v>
      </c>
      <c r="K11" s="19">
        <f t="shared" si="5"/>
        <v>500</v>
      </c>
      <c r="L11" s="19">
        <f t="shared" si="2"/>
        <v>500</v>
      </c>
      <c r="M11" s="20" t="str">
        <f t="shared" si="3"/>
        <v>Electronics</v>
      </c>
      <c r="O11" s="26" t="str">
        <f t="shared" si="4"/>
        <v>Tablet</v>
      </c>
      <c r="P11" s="26" t="str">
        <f t="shared" si="6"/>
        <v>Electronics</v>
      </c>
      <c r="Q11" s="26" t="s">
        <v>28</v>
      </c>
      <c r="S11" s="33">
        <v>45905</v>
      </c>
      <c r="T11" s="34" t="s">
        <v>117</v>
      </c>
      <c r="U11" s="34" t="str">
        <f t="shared" si="7"/>
        <v>Tablet - Apple</v>
      </c>
      <c r="V11" s="12"/>
      <c r="W11" s="35">
        <v>500</v>
      </c>
      <c r="X11" s="36">
        <v>45905</v>
      </c>
      <c r="Y11" s="12" t="s">
        <v>28</v>
      </c>
    </row>
    <row r="12" spans="1:28" ht="15.75" customHeight="1" x14ac:dyDescent="0.25">
      <c r="A12" s="7" t="s">
        <v>56</v>
      </c>
      <c r="B12" s="7" t="s">
        <v>57</v>
      </c>
      <c r="C12" s="7" t="s">
        <v>58</v>
      </c>
      <c r="D12" s="7">
        <v>130</v>
      </c>
      <c r="E12" s="7">
        <v>10</v>
      </c>
      <c r="F12" s="7" t="s">
        <v>59</v>
      </c>
      <c r="I12" s="18" t="b">
        <f t="shared" si="0"/>
        <v>0</v>
      </c>
      <c r="J12" s="19">
        <f t="shared" si="1"/>
        <v>130</v>
      </c>
      <c r="K12" s="19">
        <f t="shared" si="5"/>
        <v>130</v>
      </c>
      <c r="L12" s="19">
        <f t="shared" si="2"/>
        <v>130</v>
      </c>
      <c r="M12" s="20" t="str">
        <f t="shared" si="3"/>
        <v>Outdoor</v>
      </c>
      <c r="O12" s="26" t="str">
        <f t="shared" si="4"/>
        <v>Hiking Boots</v>
      </c>
      <c r="P12" s="26" t="str">
        <f t="shared" si="6"/>
        <v>Outdoor</v>
      </c>
      <c r="Q12" s="26" t="s">
        <v>59</v>
      </c>
      <c r="S12" s="33">
        <v>45944</v>
      </c>
      <c r="T12" s="34" t="s">
        <v>117</v>
      </c>
      <c r="U12" s="34" t="str">
        <f t="shared" si="7"/>
        <v>Hiking Boots - Timberland</v>
      </c>
      <c r="V12" s="12"/>
      <c r="W12" s="35">
        <v>130</v>
      </c>
      <c r="X12" s="36">
        <v>45944</v>
      </c>
      <c r="Y12" s="12" t="s">
        <v>59</v>
      </c>
    </row>
    <row r="13" spans="1:28" ht="15.75" customHeight="1" x14ac:dyDescent="0.25">
      <c r="A13" s="5" t="s">
        <v>60</v>
      </c>
      <c r="B13" s="5" t="s">
        <v>61</v>
      </c>
      <c r="C13" s="5" t="s">
        <v>62</v>
      </c>
      <c r="D13" s="5">
        <v>950</v>
      </c>
      <c r="E13" s="5">
        <v>25</v>
      </c>
      <c r="F13" s="5" t="s">
        <v>28</v>
      </c>
      <c r="I13" s="18" t="b">
        <f t="shared" si="0"/>
        <v>0</v>
      </c>
      <c r="J13" s="19">
        <f t="shared" si="1"/>
        <v>950</v>
      </c>
      <c r="K13" s="19">
        <f t="shared" si="5"/>
        <v>950</v>
      </c>
      <c r="L13" s="19">
        <f t="shared" si="2"/>
        <v>950</v>
      </c>
      <c r="M13" s="20" t="str">
        <f t="shared" si="3"/>
        <v>Electronics</v>
      </c>
      <c r="O13" s="26" t="str">
        <f t="shared" si="4"/>
        <v>Laptop</v>
      </c>
      <c r="P13" s="26" t="str">
        <f t="shared" si="6"/>
        <v>Electronics</v>
      </c>
      <c r="Q13" s="26" t="s">
        <v>28</v>
      </c>
      <c r="S13" s="33">
        <v>45825</v>
      </c>
      <c r="T13" s="34" t="s">
        <v>118</v>
      </c>
      <c r="U13" s="34" t="str">
        <f t="shared" si="7"/>
        <v>Laptop - HP</v>
      </c>
      <c r="V13" s="12"/>
      <c r="W13" s="35">
        <v>950</v>
      </c>
      <c r="X13" s="36">
        <v>45825</v>
      </c>
      <c r="Y13" s="12" t="s">
        <v>28</v>
      </c>
    </row>
    <row r="14" spans="1:28" ht="15.75" customHeight="1" x14ac:dyDescent="0.25">
      <c r="A14" s="7" t="s">
        <v>63</v>
      </c>
      <c r="B14" s="7" t="s">
        <v>30</v>
      </c>
      <c r="C14" s="7" t="s">
        <v>49</v>
      </c>
      <c r="D14" s="7">
        <v>90</v>
      </c>
      <c r="E14" s="7">
        <v>40</v>
      </c>
      <c r="F14" s="7"/>
      <c r="I14" s="18" t="b">
        <f t="shared" si="0"/>
        <v>0</v>
      </c>
      <c r="J14" s="19">
        <f t="shared" si="1"/>
        <v>90</v>
      </c>
      <c r="K14" s="19">
        <f t="shared" si="5"/>
        <v>90</v>
      </c>
      <c r="L14" s="19">
        <f t="shared" si="2"/>
        <v>90</v>
      </c>
      <c r="M14" s="20" t="str">
        <f t="shared" si="3"/>
        <v>unknown</v>
      </c>
      <c r="O14" s="26" t="str">
        <f t="shared" si="4"/>
        <v>Sneakers</v>
      </c>
      <c r="P14" s="26" t="str">
        <f t="shared" si="6"/>
        <v>unknown</v>
      </c>
      <c r="Q14" s="26"/>
      <c r="S14" s="33">
        <v>45986</v>
      </c>
      <c r="T14" s="34" t="s">
        <v>119</v>
      </c>
      <c r="U14" s="34" t="str">
        <f t="shared" si="7"/>
        <v>Sneakers - Adidas</v>
      </c>
      <c r="V14" s="12"/>
      <c r="W14" s="35">
        <v>90</v>
      </c>
      <c r="X14" s="36">
        <v>45986</v>
      </c>
      <c r="Y14" s="12" t="s">
        <v>128</v>
      </c>
    </row>
    <row r="15" spans="1:28" ht="15.75" customHeight="1" x14ac:dyDescent="0.25">
      <c r="A15" s="5" t="s">
        <v>64</v>
      </c>
      <c r="B15" s="5" t="s">
        <v>34</v>
      </c>
      <c r="C15" s="5" t="s">
        <v>65</v>
      </c>
      <c r="D15" s="5">
        <v>120</v>
      </c>
      <c r="E15" s="5">
        <v>35</v>
      </c>
      <c r="F15" s="5"/>
      <c r="I15" s="18" t="b">
        <f t="shared" si="0"/>
        <v>0</v>
      </c>
      <c r="J15" s="19">
        <f t="shared" si="1"/>
        <v>120</v>
      </c>
      <c r="K15" s="19">
        <f t="shared" si="5"/>
        <v>120</v>
      </c>
      <c r="L15" s="19">
        <f t="shared" si="2"/>
        <v>120</v>
      </c>
      <c r="M15" s="20" t="str">
        <f t="shared" si="3"/>
        <v>unknown</v>
      </c>
      <c r="O15" s="26" t="str">
        <f t="shared" si="4"/>
        <v>Coffee Maker</v>
      </c>
      <c r="P15" s="26" t="str">
        <f t="shared" si="6"/>
        <v>unknown</v>
      </c>
      <c r="Q15" s="26"/>
      <c r="S15" s="33">
        <v>45999</v>
      </c>
      <c r="T15" s="34" t="s">
        <v>120</v>
      </c>
      <c r="U15" s="34" t="str">
        <f t="shared" si="7"/>
        <v>Coffee Maker - Nespresso</v>
      </c>
      <c r="V15" s="12"/>
      <c r="W15" s="35">
        <v>120</v>
      </c>
      <c r="X15" s="36">
        <v>45999</v>
      </c>
      <c r="Y15" s="12" t="s">
        <v>128</v>
      </c>
    </row>
    <row r="16" spans="1:28" ht="15.75" customHeight="1" x14ac:dyDescent="0.25">
      <c r="A16" s="7" t="s">
        <v>66</v>
      </c>
      <c r="B16" s="7" t="s">
        <v>67</v>
      </c>
      <c r="C16" s="7" t="s">
        <v>68</v>
      </c>
      <c r="D16" s="7">
        <v>150</v>
      </c>
      <c r="E16" s="7">
        <v>15</v>
      </c>
      <c r="F16" s="7" t="s">
        <v>46</v>
      </c>
      <c r="I16" s="18" t="b">
        <f t="shared" si="0"/>
        <v>0</v>
      </c>
      <c r="J16" s="19">
        <f t="shared" si="1"/>
        <v>150</v>
      </c>
      <c r="K16" s="19">
        <f t="shared" si="5"/>
        <v>150</v>
      </c>
      <c r="L16" s="19">
        <f t="shared" si="2"/>
        <v>150</v>
      </c>
      <c r="M16" s="20" t="str">
        <f t="shared" si="3"/>
        <v>Electroni</v>
      </c>
      <c r="O16" s="26" t="str">
        <f t="shared" si="4"/>
        <v>Smartwatch</v>
      </c>
      <c r="P16" s="26" t="str">
        <f t="shared" si="6"/>
        <v>Electroni</v>
      </c>
      <c r="Q16" s="26" t="s">
        <v>28</v>
      </c>
      <c r="S16" s="33">
        <v>45706</v>
      </c>
      <c r="T16" s="34" t="s">
        <v>121</v>
      </c>
      <c r="U16" s="34" t="str">
        <f t="shared" si="7"/>
        <v>Smartwatch - Fitbit</v>
      </c>
      <c r="V16" s="12"/>
      <c r="W16" s="35">
        <v>150</v>
      </c>
      <c r="X16" s="36">
        <v>45706</v>
      </c>
      <c r="Y16" s="12" t="s">
        <v>143</v>
      </c>
    </row>
    <row r="17" spans="1:25" ht="15.75" customHeight="1" x14ac:dyDescent="0.25">
      <c r="A17" s="5" t="s">
        <v>69</v>
      </c>
      <c r="B17" s="5" t="s">
        <v>70</v>
      </c>
      <c r="C17" s="5" t="s">
        <v>71</v>
      </c>
      <c r="D17" s="5">
        <v>250</v>
      </c>
      <c r="E17" s="5">
        <v>20</v>
      </c>
      <c r="F17" s="5" t="s">
        <v>46</v>
      </c>
      <c r="I17" s="18" t="b">
        <f t="shared" si="0"/>
        <v>0</v>
      </c>
      <c r="J17" s="19">
        <f t="shared" si="1"/>
        <v>250</v>
      </c>
      <c r="K17" s="19">
        <f t="shared" si="5"/>
        <v>250</v>
      </c>
      <c r="L17" s="19">
        <f t="shared" si="2"/>
        <v>250</v>
      </c>
      <c r="M17" s="20" t="str">
        <f t="shared" si="3"/>
        <v>Electroni</v>
      </c>
      <c r="O17" s="26" t="str">
        <f t="shared" si="4"/>
        <v>Headphones</v>
      </c>
      <c r="P17" s="26" t="str">
        <f t="shared" si="6"/>
        <v>Electroni</v>
      </c>
      <c r="Q17" s="26" t="s">
        <v>28</v>
      </c>
      <c r="S17" s="33">
        <v>45763</v>
      </c>
      <c r="T17" s="34" t="s">
        <v>122</v>
      </c>
      <c r="U17" s="34" t="str">
        <f t="shared" si="7"/>
        <v>headphones - Bose</v>
      </c>
      <c r="V17" s="12"/>
      <c r="W17" s="35">
        <v>250</v>
      </c>
      <c r="X17" s="36">
        <v>45763</v>
      </c>
      <c r="Y17" s="12" t="s">
        <v>143</v>
      </c>
    </row>
    <row r="18" spans="1:25" ht="15.75" customHeight="1" x14ac:dyDescent="0.25">
      <c r="A18" s="7" t="s">
        <v>72</v>
      </c>
      <c r="B18" s="7" t="s">
        <v>73</v>
      </c>
      <c r="C18" s="7" t="s">
        <v>74</v>
      </c>
      <c r="D18" s="7">
        <v>50</v>
      </c>
      <c r="E18" s="7">
        <v>35</v>
      </c>
      <c r="F18" s="7" t="s">
        <v>75</v>
      </c>
      <c r="I18" s="18" t="b">
        <f t="shared" si="0"/>
        <v>0</v>
      </c>
      <c r="J18" s="19">
        <f t="shared" si="1"/>
        <v>50</v>
      </c>
      <c r="K18" s="19">
        <f t="shared" si="5"/>
        <v>50</v>
      </c>
      <c r="L18" s="19">
        <f t="shared" si="2"/>
        <v>50</v>
      </c>
      <c r="M18" s="20" t="str">
        <f t="shared" si="3"/>
        <v>Accessories</v>
      </c>
      <c r="O18" s="26" t="str">
        <f t="shared" si="4"/>
        <v>Laptop Bag</v>
      </c>
      <c r="P18" s="26" t="str">
        <f t="shared" si="6"/>
        <v>Accessories</v>
      </c>
      <c r="Q18" s="26" t="s">
        <v>75</v>
      </c>
      <c r="S18" s="33">
        <v>45890</v>
      </c>
      <c r="T18" s="34" t="s">
        <v>121</v>
      </c>
      <c r="U18" s="34" t="str">
        <f t="shared" si="7"/>
        <v>Laptop Bag - Samsonite</v>
      </c>
      <c r="V18" s="12"/>
      <c r="W18" s="35">
        <v>50</v>
      </c>
      <c r="X18" s="36">
        <v>45890</v>
      </c>
      <c r="Y18" s="12" t="s">
        <v>75</v>
      </c>
    </row>
    <row r="19" spans="1:25" ht="15.75" customHeight="1" x14ac:dyDescent="0.25">
      <c r="A19" s="5" t="s">
        <v>76</v>
      </c>
      <c r="B19" s="5" t="s">
        <v>67</v>
      </c>
      <c r="C19" s="5" t="s">
        <v>77</v>
      </c>
      <c r="D19" s="5">
        <v>160</v>
      </c>
      <c r="E19" s="5">
        <v>15</v>
      </c>
      <c r="F19" s="5" t="s">
        <v>46</v>
      </c>
      <c r="I19" s="18" t="b">
        <f t="shared" si="0"/>
        <v>0</v>
      </c>
      <c r="J19" s="19">
        <f t="shared" si="1"/>
        <v>160</v>
      </c>
      <c r="K19" s="19">
        <f t="shared" si="5"/>
        <v>160</v>
      </c>
      <c r="L19" s="19">
        <f t="shared" si="2"/>
        <v>160</v>
      </c>
      <c r="M19" s="20" t="str">
        <f t="shared" si="3"/>
        <v>Electroni</v>
      </c>
      <c r="O19" s="26" t="str">
        <f t="shared" si="4"/>
        <v>Smartwatch</v>
      </c>
      <c r="P19" s="26" t="str">
        <f t="shared" si="6"/>
        <v>Electroni</v>
      </c>
      <c r="Q19" s="26" t="s">
        <v>28</v>
      </c>
      <c r="S19" s="33">
        <v>45889</v>
      </c>
      <c r="T19" s="34" t="s">
        <v>123</v>
      </c>
      <c r="U19" s="34" t="str">
        <f t="shared" si="7"/>
        <v>Smartwatch - Huawei</v>
      </c>
      <c r="V19" s="12"/>
      <c r="W19" s="35">
        <v>160</v>
      </c>
      <c r="X19" s="36">
        <v>45889</v>
      </c>
      <c r="Y19" s="12" t="s">
        <v>143</v>
      </c>
    </row>
    <row r="20" spans="1:25" ht="15.75" customHeight="1" x14ac:dyDescent="0.25">
      <c r="A20" s="7" t="s">
        <v>78</v>
      </c>
      <c r="B20" s="7" t="s">
        <v>26</v>
      </c>
      <c r="C20" s="7" t="s">
        <v>79</v>
      </c>
      <c r="D20" s="7">
        <v>980</v>
      </c>
      <c r="E20" s="7">
        <v>10</v>
      </c>
      <c r="F20" s="7" t="s">
        <v>28</v>
      </c>
      <c r="I20" s="18" t="b">
        <f t="shared" si="0"/>
        <v>0</v>
      </c>
      <c r="J20" s="19">
        <f t="shared" si="1"/>
        <v>980</v>
      </c>
      <c r="K20" s="19">
        <f t="shared" si="5"/>
        <v>980</v>
      </c>
      <c r="L20" s="19">
        <f t="shared" si="2"/>
        <v>980</v>
      </c>
      <c r="M20" s="20" t="str">
        <f t="shared" si="3"/>
        <v>Electronics</v>
      </c>
      <c r="O20" s="26" t="str">
        <f t="shared" si="4"/>
        <v>Laptop</v>
      </c>
      <c r="P20" s="26" t="str">
        <f t="shared" si="6"/>
        <v>Electronics</v>
      </c>
      <c r="Q20" s="26" t="s">
        <v>28</v>
      </c>
      <c r="S20" s="33">
        <v>45684</v>
      </c>
      <c r="T20" s="34" t="s">
        <v>124</v>
      </c>
      <c r="U20" s="34" t="str">
        <f t="shared" si="7"/>
        <v>laptop - Asus</v>
      </c>
      <c r="V20" s="12"/>
      <c r="W20" s="35">
        <v>980</v>
      </c>
      <c r="X20" s="36">
        <v>45684</v>
      </c>
      <c r="Y20" s="12" t="s">
        <v>143</v>
      </c>
    </row>
    <row r="21" spans="1:25" ht="15.75" customHeight="1" x14ac:dyDescent="0.25">
      <c r="A21" s="5" t="s">
        <v>80</v>
      </c>
      <c r="B21" s="5" t="s">
        <v>81</v>
      </c>
      <c r="C21" s="5" t="s">
        <v>82</v>
      </c>
      <c r="D21" s="5">
        <v>150</v>
      </c>
      <c r="E21" s="5">
        <v>15</v>
      </c>
      <c r="F21" s="5" t="s">
        <v>32</v>
      </c>
      <c r="I21" s="18" t="b">
        <f t="shared" si="0"/>
        <v>0</v>
      </c>
      <c r="J21" s="19">
        <f t="shared" si="1"/>
        <v>150</v>
      </c>
      <c r="K21" s="19">
        <f t="shared" si="5"/>
        <v>150</v>
      </c>
      <c r="L21" s="19">
        <f t="shared" si="2"/>
        <v>150</v>
      </c>
      <c r="M21" s="20" t="str">
        <f t="shared" si="3"/>
        <v>Fashion</v>
      </c>
      <c r="O21" s="26" t="str">
        <f t="shared" si="4"/>
        <v>Sunglasses</v>
      </c>
      <c r="P21" s="26" t="str">
        <f t="shared" si="6"/>
        <v>Fashion</v>
      </c>
      <c r="Q21" s="26" t="s">
        <v>32</v>
      </c>
      <c r="S21" s="33">
        <v>45717</v>
      </c>
      <c r="T21" s="34" t="s">
        <v>117</v>
      </c>
      <c r="U21" s="34" t="str">
        <f t="shared" si="7"/>
        <v>Sunglasses - Oakley</v>
      </c>
      <c r="V21" s="12"/>
      <c r="W21" s="35">
        <v>150</v>
      </c>
      <c r="X21" s="36">
        <v>45717</v>
      </c>
      <c r="Y21" s="12" t="s">
        <v>32</v>
      </c>
    </row>
    <row r="22" spans="1:25" ht="15.75" customHeight="1" x14ac:dyDescent="0.25">
      <c r="A22" s="7" t="s">
        <v>83</v>
      </c>
      <c r="B22" s="7" t="s">
        <v>84</v>
      </c>
      <c r="C22" s="7" t="s">
        <v>85</v>
      </c>
      <c r="D22" s="7"/>
      <c r="E22" s="7">
        <v>10</v>
      </c>
      <c r="F22" s="7" t="s">
        <v>59</v>
      </c>
      <c r="I22" s="18" t="b">
        <f t="shared" si="0"/>
        <v>1</v>
      </c>
      <c r="J22" s="19">
        <f t="shared" si="1"/>
        <v>309.35483870967744</v>
      </c>
      <c r="K22" s="19">
        <f t="shared" si="5"/>
        <v>309</v>
      </c>
      <c r="L22" s="19">
        <f t="shared" si="2"/>
        <v>130</v>
      </c>
      <c r="M22" s="20" t="str">
        <f t="shared" si="3"/>
        <v>Outdoor</v>
      </c>
      <c r="O22" s="26" t="str">
        <f t="shared" si="4"/>
        <v>Camping Tent</v>
      </c>
      <c r="P22" s="26" t="str">
        <f t="shared" si="6"/>
        <v>Outdoor</v>
      </c>
      <c r="Q22" s="26" t="s">
        <v>59</v>
      </c>
      <c r="S22" s="33">
        <v>45883</v>
      </c>
      <c r="T22" s="34" t="s">
        <v>116</v>
      </c>
      <c r="U22" s="34" t="str">
        <f t="shared" si="7"/>
        <v>Camping Tent - Coleman</v>
      </c>
      <c r="V22" s="12"/>
      <c r="W22" s="35">
        <v>130</v>
      </c>
      <c r="X22" s="36">
        <v>45883</v>
      </c>
      <c r="Y22" s="12" t="s">
        <v>59</v>
      </c>
    </row>
    <row r="23" spans="1:25" ht="15.75" customHeight="1" x14ac:dyDescent="0.25">
      <c r="A23" s="5" t="s">
        <v>86</v>
      </c>
      <c r="B23" s="5" t="s">
        <v>87</v>
      </c>
      <c r="C23" s="5" t="s">
        <v>88</v>
      </c>
      <c r="D23" s="5">
        <v>700</v>
      </c>
      <c r="E23" s="5">
        <v>50</v>
      </c>
      <c r="F23" s="5" t="s">
        <v>28</v>
      </c>
      <c r="I23" s="18" t="b">
        <f t="shared" si="0"/>
        <v>0</v>
      </c>
      <c r="J23" s="19">
        <f t="shared" si="1"/>
        <v>700</v>
      </c>
      <c r="K23" s="19">
        <f t="shared" si="5"/>
        <v>700</v>
      </c>
      <c r="L23" s="19">
        <f t="shared" si="2"/>
        <v>700</v>
      </c>
      <c r="M23" s="20" t="str">
        <f t="shared" si="3"/>
        <v>Electronics</v>
      </c>
      <c r="O23" s="26" t="str">
        <f t="shared" si="4"/>
        <v>Camera</v>
      </c>
      <c r="P23" s="26" t="str">
        <f t="shared" si="6"/>
        <v>Electronics</v>
      </c>
      <c r="Q23" s="26" t="s">
        <v>28</v>
      </c>
      <c r="S23" s="33">
        <v>45791</v>
      </c>
      <c r="T23" s="34" t="s">
        <v>125</v>
      </c>
      <c r="U23" s="34" t="str">
        <f t="shared" si="7"/>
        <v>Camera - Nikon</v>
      </c>
      <c r="V23" s="12"/>
      <c r="W23" s="35">
        <v>700</v>
      </c>
      <c r="X23" s="36">
        <v>45791</v>
      </c>
      <c r="Y23" s="12" t="s">
        <v>28</v>
      </c>
    </row>
    <row r="24" spans="1:25" ht="15.75" customHeight="1" x14ac:dyDescent="0.25">
      <c r="A24" s="7" t="s">
        <v>89</v>
      </c>
      <c r="B24" s="7" t="s">
        <v>90</v>
      </c>
      <c r="C24" s="7" t="s">
        <v>91</v>
      </c>
      <c r="D24" s="7">
        <v>80</v>
      </c>
      <c r="E24" s="7">
        <v>20</v>
      </c>
      <c r="F24" s="7" t="s">
        <v>36</v>
      </c>
      <c r="I24" s="18" t="b">
        <f t="shared" si="0"/>
        <v>0</v>
      </c>
      <c r="J24" s="19">
        <f t="shared" si="1"/>
        <v>80</v>
      </c>
      <c r="K24" s="19">
        <f t="shared" si="5"/>
        <v>80</v>
      </c>
      <c r="L24" s="19">
        <f t="shared" si="2"/>
        <v>80</v>
      </c>
      <c r="M24" s="20" t="str">
        <f t="shared" si="3"/>
        <v>Kitchen</v>
      </c>
      <c r="O24" s="26" t="str">
        <f t="shared" si="4"/>
        <v>Microwave</v>
      </c>
      <c r="P24" s="26" t="str">
        <f t="shared" si="6"/>
        <v>Kitchen</v>
      </c>
      <c r="Q24" s="26" t="s">
        <v>36</v>
      </c>
      <c r="S24" s="33">
        <v>45666</v>
      </c>
      <c r="T24" s="34" t="s">
        <v>121</v>
      </c>
      <c r="U24" s="34" t="str">
        <f t="shared" si="7"/>
        <v>Microwave - Panasonic</v>
      </c>
      <c r="V24" s="12"/>
      <c r="W24" s="35">
        <v>80</v>
      </c>
      <c r="X24" s="36">
        <v>45666</v>
      </c>
      <c r="Y24" s="12" t="s">
        <v>36</v>
      </c>
    </row>
    <row r="25" spans="1:25" ht="15.75" customHeight="1" x14ac:dyDescent="0.25">
      <c r="A25" s="5" t="s">
        <v>92</v>
      </c>
      <c r="B25" s="5" t="s">
        <v>93</v>
      </c>
      <c r="C25" s="5" t="s">
        <v>94</v>
      </c>
      <c r="D25" s="5">
        <v>150</v>
      </c>
      <c r="E25" s="5">
        <v>30</v>
      </c>
      <c r="F25" s="5"/>
      <c r="I25" s="18" t="b">
        <f t="shared" si="0"/>
        <v>0</v>
      </c>
      <c r="J25" s="19">
        <f t="shared" si="1"/>
        <v>150</v>
      </c>
      <c r="K25" s="19">
        <f t="shared" si="5"/>
        <v>150</v>
      </c>
      <c r="L25" s="19">
        <f t="shared" si="2"/>
        <v>150</v>
      </c>
      <c r="M25" s="20" t="str">
        <f t="shared" si="3"/>
        <v>unknown</v>
      </c>
      <c r="O25" s="26" t="str">
        <f t="shared" si="4"/>
        <v>Fitness Tracker</v>
      </c>
      <c r="P25" s="26" t="str">
        <f t="shared" si="6"/>
        <v>unknown</v>
      </c>
      <c r="Q25" s="26"/>
      <c r="S25" s="33">
        <v>45857</v>
      </c>
      <c r="T25" s="34" t="s">
        <v>126</v>
      </c>
      <c r="U25" s="34" t="str">
        <f t="shared" si="7"/>
        <v>Fitness Tracker - Xiaomi</v>
      </c>
      <c r="V25" s="12"/>
      <c r="W25" s="35">
        <v>150</v>
      </c>
      <c r="X25" s="36">
        <v>45857</v>
      </c>
      <c r="Y25" s="12" t="s">
        <v>128</v>
      </c>
    </row>
    <row r="26" spans="1:25" ht="15.75" customHeight="1" x14ac:dyDescent="0.25">
      <c r="A26" s="7" t="s">
        <v>72</v>
      </c>
      <c r="B26" s="7" t="s">
        <v>73</v>
      </c>
      <c r="C26" s="7" t="s">
        <v>74</v>
      </c>
      <c r="D26" s="7">
        <v>50</v>
      </c>
      <c r="E26" s="7">
        <v>35</v>
      </c>
      <c r="F26" s="7" t="s">
        <v>75</v>
      </c>
      <c r="I26" s="18" t="b">
        <f t="shared" si="0"/>
        <v>0</v>
      </c>
      <c r="J26" s="19">
        <f t="shared" si="1"/>
        <v>50</v>
      </c>
      <c r="K26" s="19">
        <f t="shared" si="5"/>
        <v>50</v>
      </c>
      <c r="L26" s="19">
        <f t="shared" si="2"/>
        <v>50</v>
      </c>
      <c r="M26" s="20" t="str">
        <f t="shared" si="3"/>
        <v>Accessories</v>
      </c>
      <c r="O26" s="26" t="str">
        <f t="shared" si="4"/>
        <v>Laptop Bag</v>
      </c>
      <c r="P26" s="26" t="str">
        <f t="shared" si="6"/>
        <v>Accessories</v>
      </c>
      <c r="Q26" s="26" t="s">
        <v>75</v>
      </c>
      <c r="S26" s="33">
        <v>45890</v>
      </c>
      <c r="T26" s="34" t="s">
        <v>121</v>
      </c>
      <c r="U26" s="34" t="str">
        <f t="shared" si="7"/>
        <v>Laptop Bag - Samsonite</v>
      </c>
      <c r="V26" s="12"/>
      <c r="W26" s="35">
        <v>50</v>
      </c>
      <c r="X26" s="36">
        <v>45890</v>
      </c>
      <c r="Y26" s="12" t="s">
        <v>75</v>
      </c>
    </row>
    <row r="27" spans="1:25" ht="15.75" customHeight="1" x14ac:dyDescent="0.25">
      <c r="A27" s="5" t="s">
        <v>95</v>
      </c>
      <c r="B27" s="5" t="s">
        <v>96</v>
      </c>
      <c r="C27" s="5" t="s">
        <v>97</v>
      </c>
      <c r="D27" s="5">
        <v>800</v>
      </c>
      <c r="E27" s="5">
        <v>45</v>
      </c>
      <c r="F27" s="5" t="s">
        <v>28</v>
      </c>
      <c r="I27" s="18" t="b">
        <f t="shared" si="0"/>
        <v>0</v>
      </c>
      <c r="J27" s="19">
        <f t="shared" si="1"/>
        <v>800</v>
      </c>
      <c r="K27" s="19">
        <f t="shared" si="5"/>
        <v>800</v>
      </c>
      <c r="L27" s="19">
        <f t="shared" si="2"/>
        <v>800</v>
      </c>
      <c r="M27" s="20" t="str">
        <f t="shared" si="3"/>
        <v>Electronics</v>
      </c>
      <c r="O27" s="26" t="str">
        <f t="shared" si="4"/>
        <v>Smartphone</v>
      </c>
      <c r="P27" s="26" t="str">
        <f t="shared" si="6"/>
        <v>Electronics</v>
      </c>
      <c r="Q27" s="26" t="s">
        <v>28</v>
      </c>
      <c r="S27" s="33">
        <v>45929</v>
      </c>
      <c r="T27" s="34" t="s">
        <v>121</v>
      </c>
      <c r="U27" s="34" t="str">
        <f t="shared" si="7"/>
        <v>Smartphone - Google</v>
      </c>
      <c r="V27" s="12"/>
      <c r="W27" s="35">
        <v>800</v>
      </c>
      <c r="X27" s="36">
        <v>45929</v>
      </c>
      <c r="Y27" s="12" t="s">
        <v>28</v>
      </c>
    </row>
    <row r="28" spans="1:25" ht="15.75" customHeight="1" x14ac:dyDescent="0.25">
      <c r="A28" s="7" t="s">
        <v>98</v>
      </c>
      <c r="B28" s="7" t="s">
        <v>81</v>
      </c>
      <c r="C28" s="7" t="s">
        <v>99</v>
      </c>
      <c r="D28" s="7"/>
      <c r="E28" s="7">
        <v>25</v>
      </c>
      <c r="F28" s="7" t="s">
        <v>32</v>
      </c>
      <c r="I28" s="18" t="b">
        <f t="shared" si="0"/>
        <v>1</v>
      </c>
      <c r="J28" s="19">
        <f t="shared" si="1"/>
        <v>309.35483870967744</v>
      </c>
      <c r="K28" s="19">
        <f t="shared" si="5"/>
        <v>309</v>
      </c>
      <c r="L28" s="19">
        <f t="shared" si="2"/>
        <v>74</v>
      </c>
      <c r="M28" s="20" t="str">
        <f t="shared" si="3"/>
        <v>Fashion</v>
      </c>
      <c r="O28" s="26" t="str">
        <f t="shared" si="4"/>
        <v>Sunglasses</v>
      </c>
      <c r="P28" s="26" t="str">
        <f t="shared" si="6"/>
        <v>Fashion</v>
      </c>
      <c r="Q28" s="26" t="s">
        <v>32</v>
      </c>
      <c r="S28" s="33">
        <v>45811</v>
      </c>
      <c r="T28" s="34" t="s">
        <v>121</v>
      </c>
      <c r="U28" s="34" t="str">
        <f t="shared" si="7"/>
        <v>Sunglasses - Ray-Ban</v>
      </c>
      <c r="V28" s="12"/>
      <c r="W28" s="35">
        <v>74</v>
      </c>
      <c r="X28" s="36">
        <v>45811</v>
      </c>
      <c r="Y28" s="12" t="s">
        <v>32</v>
      </c>
    </row>
    <row r="29" spans="1:25" ht="15.75" customHeight="1" x14ac:dyDescent="0.25">
      <c r="A29" s="5" t="s">
        <v>100</v>
      </c>
      <c r="B29" s="5" t="s">
        <v>51</v>
      </c>
      <c r="C29" s="5" t="s">
        <v>101</v>
      </c>
      <c r="D29" s="5">
        <v>400</v>
      </c>
      <c r="E29" s="5">
        <v>40</v>
      </c>
      <c r="F29" s="5" t="s">
        <v>36</v>
      </c>
      <c r="I29" s="18" t="b">
        <f t="shared" si="0"/>
        <v>0</v>
      </c>
      <c r="J29" s="19">
        <f t="shared" si="1"/>
        <v>400</v>
      </c>
      <c r="K29" s="19">
        <f t="shared" si="5"/>
        <v>400</v>
      </c>
      <c r="L29" s="19">
        <f t="shared" si="2"/>
        <v>400</v>
      </c>
      <c r="M29" s="20" t="str">
        <f t="shared" si="3"/>
        <v>Kitchen</v>
      </c>
      <c r="O29" s="26" t="str">
        <f t="shared" si="4"/>
        <v>Blender</v>
      </c>
      <c r="P29" s="26" t="str">
        <f t="shared" si="6"/>
        <v>Kitchen</v>
      </c>
      <c r="Q29" s="26" t="s">
        <v>36</v>
      </c>
      <c r="S29" s="33">
        <v>45849</v>
      </c>
      <c r="T29" s="34" t="s">
        <v>121</v>
      </c>
      <c r="U29" s="34" t="str">
        <f t="shared" si="7"/>
        <v>Blender - Vitamix</v>
      </c>
      <c r="V29" s="12"/>
      <c r="W29" s="35">
        <v>400</v>
      </c>
      <c r="X29" s="36">
        <v>45849</v>
      </c>
      <c r="Y29" s="12" t="s">
        <v>36</v>
      </c>
    </row>
    <row r="30" spans="1:25" ht="15.75" customHeight="1" x14ac:dyDescent="0.25">
      <c r="A30" s="7" t="s">
        <v>69</v>
      </c>
      <c r="B30" s="7" t="s">
        <v>70</v>
      </c>
      <c r="C30" s="7" t="s">
        <v>71</v>
      </c>
      <c r="D30" s="7">
        <v>250</v>
      </c>
      <c r="E30" s="7">
        <v>20</v>
      </c>
      <c r="F30" s="7" t="s">
        <v>46</v>
      </c>
      <c r="I30" s="18" t="b">
        <f t="shared" si="0"/>
        <v>0</v>
      </c>
      <c r="J30" s="19">
        <f t="shared" si="1"/>
        <v>250</v>
      </c>
      <c r="K30" s="19">
        <f t="shared" si="5"/>
        <v>250</v>
      </c>
      <c r="L30" s="19">
        <f t="shared" si="2"/>
        <v>250</v>
      </c>
      <c r="M30" s="20" t="str">
        <f t="shared" si="3"/>
        <v>Electroni</v>
      </c>
      <c r="O30" s="26" t="str">
        <f t="shared" si="4"/>
        <v>Headphones</v>
      </c>
      <c r="P30" s="26" t="str">
        <f t="shared" si="6"/>
        <v>Electroni</v>
      </c>
      <c r="Q30" s="26" t="s">
        <v>28</v>
      </c>
      <c r="S30" s="33">
        <v>45763</v>
      </c>
      <c r="T30" s="34" t="s">
        <v>122</v>
      </c>
      <c r="U30" s="34" t="str">
        <f t="shared" si="7"/>
        <v>headphones - Bose</v>
      </c>
      <c r="V30" s="12"/>
      <c r="W30" s="35">
        <v>250</v>
      </c>
      <c r="X30" s="36">
        <v>45763</v>
      </c>
      <c r="Y30" s="12" t="s">
        <v>143</v>
      </c>
    </row>
    <row r="31" spans="1:25" ht="15.75" customHeight="1" x14ac:dyDescent="0.25">
      <c r="A31" s="5" t="s">
        <v>102</v>
      </c>
      <c r="B31" s="5" t="s">
        <v>103</v>
      </c>
      <c r="C31" s="5" t="s">
        <v>104</v>
      </c>
      <c r="D31" s="5">
        <v>60</v>
      </c>
      <c r="E31" s="5">
        <v>30</v>
      </c>
      <c r="F31" s="5" t="s">
        <v>32</v>
      </c>
      <c r="I31" s="18" t="b">
        <f t="shared" si="0"/>
        <v>0</v>
      </c>
      <c r="J31" s="19">
        <f t="shared" si="1"/>
        <v>60</v>
      </c>
      <c r="K31" s="19">
        <f t="shared" si="5"/>
        <v>60</v>
      </c>
      <c r="L31" s="19">
        <f t="shared" si="2"/>
        <v>60</v>
      </c>
      <c r="M31" s="20" t="str">
        <f t="shared" si="3"/>
        <v>Fashion</v>
      </c>
      <c r="O31" s="26" t="str">
        <f t="shared" si="4"/>
        <v>Dress</v>
      </c>
      <c r="P31" s="26" t="str">
        <f t="shared" si="6"/>
        <v>Fashion</v>
      </c>
      <c r="Q31" s="26" t="s">
        <v>32</v>
      </c>
      <c r="S31" s="33">
        <v>45723</v>
      </c>
      <c r="T31" s="34" t="s">
        <v>121</v>
      </c>
      <c r="U31" s="34" t="str">
        <f t="shared" si="7"/>
        <v>Dress - Zara</v>
      </c>
      <c r="V31" s="12"/>
      <c r="W31" s="35">
        <v>60</v>
      </c>
      <c r="X31" s="36">
        <v>45723</v>
      </c>
      <c r="Y31" s="12" t="s">
        <v>32</v>
      </c>
    </row>
    <row r="32" spans="1:25" ht="15.75" customHeight="1" x14ac:dyDescent="0.25">
      <c r="A32" s="7" t="s">
        <v>105</v>
      </c>
      <c r="B32" s="7" t="s">
        <v>106</v>
      </c>
      <c r="C32" s="7" t="s">
        <v>107</v>
      </c>
      <c r="D32" s="7">
        <v>40</v>
      </c>
      <c r="E32" s="7">
        <v>10</v>
      </c>
      <c r="F32" s="7" t="s">
        <v>36</v>
      </c>
      <c r="I32" s="18" t="b">
        <f t="shared" si="0"/>
        <v>0</v>
      </c>
      <c r="J32" s="19">
        <f t="shared" si="1"/>
        <v>40</v>
      </c>
      <c r="K32" s="19">
        <f t="shared" si="5"/>
        <v>40</v>
      </c>
      <c r="L32" s="19">
        <f t="shared" si="2"/>
        <v>40</v>
      </c>
      <c r="M32" s="20" t="str">
        <f t="shared" si="3"/>
        <v>Kitchen</v>
      </c>
      <c r="O32" s="26" t="str">
        <f t="shared" si="4"/>
        <v>Toaster</v>
      </c>
      <c r="P32" s="26" t="str">
        <f t="shared" si="6"/>
        <v>Kitchen</v>
      </c>
      <c r="Q32" s="26" t="s">
        <v>36</v>
      </c>
      <c r="S32" s="33">
        <v>45760</v>
      </c>
      <c r="T32" s="34" t="s">
        <v>121</v>
      </c>
      <c r="U32" s="34" t="str">
        <f t="shared" si="7"/>
        <v>Toaster - Hamilton</v>
      </c>
      <c r="V32" s="12"/>
      <c r="W32" s="35">
        <v>40</v>
      </c>
      <c r="X32" s="36">
        <v>45760</v>
      </c>
      <c r="Y32" s="12" t="s">
        <v>36</v>
      </c>
    </row>
    <row r="33" spans="1:25" ht="15.75" customHeight="1" x14ac:dyDescent="0.25">
      <c r="A33" s="5" t="s">
        <v>108</v>
      </c>
      <c r="B33" s="5" t="s">
        <v>93</v>
      </c>
      <c r="C33" s="5" t="s">
        <v>109</v>
      </c>
      <c r="D33" s="5">
        <v>130</v>
      </c>
      <c r="E33" s="5">
        <v>5</v>
      </c>
      <c r="F33" s="5" t="s">
        <v>28</v>
      </c>
      <c r="I33" s="18" t="b">
        <f t="shared" si="0"/>
        <v>0</v>
      </c>
      <c r="J33" s="19">
        <f t="shared" si="1"/>
        <v>130</v>
      </c>
      <c r="K33" s="19">
        <f t="shared" si="5"/>
        <v>130</v>
      </c>
      <c r="L33" s="19">
        <f t="shared" si="2"/>
        <v>130</v>
      </c>
      <c r="M33" s="20" t="str">
        <f t="shared" si="3"/>
        <v>Electronics</v>
      </c>
      <c r="O33" s="26" t="str">
        <f t="shared" si="4"/>
        <v>Fitness Tracker</v>
      </c>
      <c r="P33" s="26" t="str">
        <f t="shared" si="6"/>
        <v>Electronics</v>
      </c>
      <c r="Q33" s="26" t="s">
        <v>28</v>
      </c>
      <c r="S33" s="33">
        <v>45801</v>
      </c>
      <c r="T33" s="34" t="s">
        <v>121</v>
      </c>
      <c r="U33" s="34" t="str">
        <f t="shared" si="7"/>
        <v>Fitness Tracker - Garmin</v>
      </c>
      <c r="V33" s="12"/>
      <c r="W33" s="35">
        <v>130</v>
      </c>
      <c r="X33" s="36">
        <v>45801</v>
      </c>
      <c r="Y33" s="12" t="s">
        <v>28</v>
      </c>
    </row>
    <row r="34" spans="1:25" ht="15.75" customHeight="1" x14ac:dyDescent="0.25">
      <c r="A34" s="7" t="s">
        <v>110</v>
      </c>
      <c r="B34" s="7" t="s">
        <v>111</v>
      </c>
      <c r="C34" s="7" t="s">
        <v>112</v>
      </c>
      <c r="D34" s="7">
        <v>50</v>
      </c>
      <c r="E34" s="7">
        <v>50</v>
      </c>
      <c r="F34" s="7" t="s">
        <v>32</v>
      </c>
      <c r="I34" s="18" t="b">
        <f t="shared" si="0"/>
        <v>0</v>
      </c>
      <c r="J34" s="19">
        <f t="shared" si="1"/>
        <v>50</v>
      </c>
      <c r="K34" s="19">
        <f t="shared" si="5"/>
        <v>50</v>
      </c>
      <c r="L34" s="19">
        <f t="shared" si="2"/>
        <v>50</v>
      </c>
      <c r="M34" s="20" t="str">
        <f t="shared" si="3"/>
        <v>Fashion</v>
      </c>
      <c r="O34" s="26" t="str">
        <f t="shared" si="4"/>
        <v>Jeans</v>
      </c>
      <c r="P34" s="26" t="str">
        <f t="shared" si="6"/>
        <v>Fashion</v>
      </c>
      <c r="Q34" s="26" t="s">
        <v>32</v>
      </c>
      <c r="S34" s="33">
        <v>45993</v>
      </c>
      <c r="T34" s="34" t="s">
        <v>121</v>
      </c>
      <c r="U34" s="34" t="str">
        <f t="shared" si="7"/>
        <v>Jeans - Levi's</v>
      </c>
      <c r="V34" s="12"/>
      <c r="W34" s="35">
        <v>50</v>
      </c>
      <c r="X34" s="36">
        <v>45993</v>
      </c>
      <c r="Y34" s="12" t="s">
        <v>32</v>
      </c>
    </row>
    <row r="35" spans="1:25" ht="15.75" customHeight="1" x14ac:dyDescent="0.25">
      <c r="A35" s="5" t="s">
        <v>60</v>
      </c>
      <c r="B35" s="5" t="s">
        <v>61</v>
      </c>
      <c r="C35" s="5" t="s">
        <v>62</v>
      </c>
      <c r="D35" s="5">
        <v>950</v>
      </c>
      <c r="E35" s="5">
        <v>25</v>
      </c>
      <c r="F35" s="5" t="s">
        <v>28</v>
      </c>
      <c r="I35" s="18" t="b">
        <f t="shared" si="0"/>
        <v>0</v>
      </c>
      <c r="J35" s="19">
        <f t="shared" si="1"/>
        <v>950</v>
      </c>
      <c r="K35" s="19">
        <f t="shared" si="5"/>
        <v>950</v>
      </c>
      <c r="L35" s="19">
        <f t="shared" si="2"/>
        <v>950</v>
      </c>
      <c r="M35" s="20" t="str">
        <f t="shared" si="3"/>
        <v>Electronics</v>
      </c>
      <c r="O35" s="26" t="str">
        <f t="shared" si="4"/>
        <v>Laptop</v>
      </c>
      <c r="P35" s="26" t="str">
        <f t="shared" si="6"/>
        <v>Electronics</v>
      </c>
      <c r="Q35" s="26" t="s">
        <v>28</v>
      </c>
      <c r="S35" s="33">
        <v>45825</v>
      </c>
      <c r="T35" s="34" t="s">
        <v>118</v>
      </c>
      <c r="U35" s="34" t="str">
        <f t="shared" si="7"/>
        <v>Laptop - HP</v>
      </c>
      <c r="V35" s="12"/>
      <c r="W35" s="35">
        <v>950</v>
      </c>
      <c r="X35" s="36">
        <v>45825</v>
      </c>
      <c r="Y35" s="12" t="s">
        <v>28</v>
      </c>
    </row>
    <row r="36" spans="1:25" ht="15.75" customHeight="1" thickBot="1" x14ac:dyDescent="0.3">
      <c r="A36" s="7" t="s">
        <v>113</v>
      </c>
      <c r="B36" s="7" t="s">
        <v>114</v>
      </c>
      <c r="C36" s="7" t="s">
        <v>115</v>
      </c>
      <c r="D36" s="7">
        <v>100</v>
      </c>
      <c r="E36" s="7">
        <v>20</v>
      </c>
      <c r="F36" s="7" t="s">
        <v>75</v>
      </c>
      <c r="I36" s="21" t="b">
        <f t="shared" si="0"/>
        <v>0</v>
      </c>
      <c r="J36" s="22">
        <f t="shared" si="1"/>
        <v>100</v>
      </c>
      <c r="K36" s="22">
        <f t="shared" si="5"/>
        <v>100</v>
      </c>
      <c r="L36" s="19">
        <f t="shared" si="2"/>
        <v>100</v>
      </c>
      <c r="M36" s="23" t="str">
        <f t="shared" si="3"/>
        <v>Accessories</v>
      </c>
      <c r="O36" s="26" t="str">
        <f t="shared" si="4"/>
        <v>Watch</v>
      </c>
      <c r="P36" s="26" t="str">
        <f t="shared" si="6"/>
        <v>Accessories</v>
      </c>
      <c r="Q36" s="26" t="s">
        <v>75</v>
      </c>
      <c r="S36" s="33">
        <v>45847</v>
      </c>
      <c r="T36" s="34" t="s">
        <v>127</v>
      </c>
      <c r="U36" s="34" t="str">
        <f t="shared" si="7"/>
        <v>Watch - Casio</v>
      </c>
      <c r="V36" s="12"/>
      <c r="W36" s="35">
        <v>100</v>
      </c>
      <c r="X36" s="36">
        <v>45847</v>
      </c>
      <c r="Y36" s="12" t="s">
        <v>75</v>
      </c>
    </row>
    <row r="37" spans="1:25" ht="15.75" customHeight="1" x14ac:dyDescent="0.25"/>
    <row r="38" spans="1:25" ht="15.75" customHeight="1" x14ac:dyDescent="0.25"/>
    <row r="39" spans="1:25" ht="15.75" customHeight="1" x14ac:dyDescent="0.25"/>
    <row r="40" spans="1:25" ht="15.75" customHeight="1" x14ac:dyDescent="0.25"/>
    <row r="41" spans="1:25" ht="15.75" customHeight="1" x14ac:dyDescent="0.25"/>
    <row r="42" spans="1:25" ht="15.75" customHeight="1" x14ac:dyDescent="0.25"/>
    <row r="43" spans="1:25" ht="15.75" customHeight="1" x14ac:dyDescent="0.25"/>
    <row r="44" spans="1:25" ht="15.75" customHeight="1" x14ac:dyDescent="0.25"/>
    <row r="45" spans="1:25" ht="15.75" customHeight="1" x14ac:dyDescent="0.25"/>
    <row r="46" spans="1:25" ht="15.75" customHeight="1" x14ac:dyDescent="0.25"/>
    <row r="47" spans="1:25" ht="15.75" customHeight="1" x14ac:dyDescent="0.25"/>
    <row r="48" spans="1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Consolidate/>
  <mergeCells count="5">
    <mergeCell ref="I1:M1"/>
    <mergeCell ref="O1:Q1"/>
    <mergeCell ref="S1:U1"/>
    <mergeCell ref="W1:Y1"/>
    <mergeCell ref="A1:F1"/>
  </mergeCells>
  <conditionalFormatting sqref="W1:W1048576">
    <cfRule type="colorScale" priority="2">
      <colorScale>
        <cfvo type="min"/>
        <cfvo type="max"/>
        <color theme="0"/>
        <color theme="0"/>
      </colorScale>
    </cfRule>
    <cfRule type="colorScale" priority="3">
      <colorScale>
        <cfvo type="min"/>
        <cfvo type="max"/>
        <color rgb="FFFF7128"/>
        <color rgb="FFFFEF9C"/>
      </colorScale>
    </cfRule>
  </conditionalFormatting>
  <conditionalFormatting sqref="W3:W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{19978AD6-C77D-4C54-B6F0-39E55BB7343B}</x14:id>
        </ext>
      </extLst>
    </cfRule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{F6B7B821-B999-48B4-A87A-1C8829C71A2A}</x14:id>
        </ext>
      </extLst>
    </cfRule>
  </conditionalFormatting>
  <conditionalFormatting sqref="Y3:Y36">
    <cfRule type="expression" dxfId="1" priority="4">
      <formula>Y3="electronics"</formula>
    </cfRule>
    <cfRule type="expression" dxfId="0" priority="5">
      <formula>Y2=electronics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978AD6-C77D-4C54-B6F0-39E55BB73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B7B821-B999-48B4-A87A-1C8829C71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W3:W36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D4C0-E5E9-4CB7-A096-2A243325E698}">
  <dimension ref="A1:F32"/>
  <sheetViews>
    <sheetView tabSelected="1" workbookViewId="0">
      <selection activeCell="I1" sqref="I1"/>
    </sheetView>
  </sheetViews>
  <sheetFormatPr defaultColWidth="13.81640625" defaultRowHeight="12.5" x14ac:dyDescent="0.25"/>
  <sheetData>
    <row r="1" spans="1:6" ht="15" customHeight="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27</v>
      </c>
      <c r="D2">
        <v>1000</v>
      </c>
      <c r="E2">
        <v>30</v>
      </c>
      <c r="F2" t="s">
        <v>28</v>
      </c>
    </row>
    <row r="3" spans="1:6" x14ac:dyDescent="0.25">
      <c r="A3" t="s">
        <v>29</v>
      </c>
      <c r="B3" t="s">
        <v>30</v>
      </c>
      <c r="C3" t="s">
        <v>31</v>
      </c>
      <c r="D3">
        <v>80</v>
      </c>
      <c r="E3">
        <v>15</v>
      </c>
      <c r="F3" t="s">
        <v>32</v>
      </c>
    </row>
    <row r="4" spans="1:6" x14ac:dyDescent="0.25">
      <c r="A4" t="s">
        <v>33</v>
      </c>
      <c r="B4" t="s">
        <v>34</v>
      </c>
      <c r="C4" t="s">
        <v>35</v>
      </c>
      <c r="D4">
        <v>130</v>
      </c>
      <c r="E4">
        <v>40</v>
      </c>
      <c r="F4" t="s">
        <v>36</v>
      </c>
    </row>
    <row r="5" spans="1:6" x14ac:dyDescent="0.25">
      <c r="A5" t="s">
        <v>37</v>
      </c>
      <c r="B5" t="s">
        <v>38</v>
      </c>
      <c r="C5" t="s">
        <v>39</v>
      </c>
      <c r="D5">
        <v>900</v>
      </c>
      <c r="E5">
        <v>25</v>
      </c>
      <c r="F5" t="s">
        <v>28</v>
      </c>
    </row>
    <row r="6" spans="1:6" x14ac:dyDescent="0.25">
      <c r="A6" t="s">
        <v>40</v>
      </c>
      <c r="B6" t="s">
        <v>41</v>
      </c>
      <c r="C6" t="s">
        <v>42</v>
      </c>
      <c r="D6">
        <v>70</v>
      </c>
      <c r="E6">
        <v>20</v>
      </c>
    </row>
    <row r="7" spans="1:6" x14ac:dyDescent="0.25">
      <c r="A7" t="s">
        <v>43</v>
      </c>
      <c r="B7" t="s">
        <v>44</v>
      </c>
      <c r="C7" t="s">
        <v>45</v>
      </c>
      <c r="E7">
        <v>45</v>
      </c>
      <c r="F7" t="s">
        <v>46</v>
      </c>
    </row>
    <row r="8" spans="1:6" x14ac:dyDescent="0.25">
      <c r="A8" t="s">
        <v>47</v>
      </c>
      <c r="B8" t="s">
        <v>48</v>
      </c>
      <c r="C8" t="s">
        <v>49</v>
      </c>
      <c r="D8">
        <v>30</v>
      </c>
      <c r="E8">
        <v>5</v>
      </c>
      <c r="F8" t="s">
        <v>32</v>
      </c>
    </row>
    <row r="9" spans="1:6" x14ac:dyDescent="0.25">
      <c r="A9" t="s">
        <v>50</v>
      </c>
      <c r="B9" t="s">
        <v>51</v>
      </c>
      <c r="C9" t="s">
        <v>52</v>
      </c>
      <c r="D9">
        <v>90</v>
      </c>
      <c r="E9">
        <v>35</v>
      </c>
      <c r="F9" t="s">
        <v>36</v>
      </c>
    </row>
    <row r="10" spans="1:6" x14ac:dyDescent="0.25">
      <c r="A10" t="s">
        <v>53</v>
      </c>
      <c r="B10" t="s">
        <v>54</v>
      </c>
      <c r="C10" t="s">
        <v>55</v>
      </c>
      <c r="D10">
        <v>500</v>
      </c>
      <c r="E10">
        <v>50</v>
      </c>
      <c r="F10" t="s">
        <v>28</v>
      </c>
    </row>
    <row r="11" spans="1:6" x14ac:dyDescent="0.25">
      <c r="A11" t="s">
        <v>56</v>
      </c>
      <c r="B11" t="s">
        <v>57</v>
      </c>
      <c r="C11" t="s">
        <v>58</v>
      </c>
      <c r="D11">
        <v>130</v>
      </c>
      <c r="E11">
        <v>10</v>
      </c>
      <c r="F11" t="s">
        <v>59</v>
      </c>
    </row>
    <row r="12" spans="1:6" x14ac:dyDescent="0.25">
      <c r="A12" t="s">
        <v>60</v>
      </c>
      <c r="B12" t="s">
        <v>61</v>
      </c>
      <c r="C12" t="s">
        <v>62</v>
      </c>
      <c r="D12">
        <v>950</v>
      </c>
      <c r="E12">
        <v>25</v>
      </c>
      <c r="F12" t="s">
        <v>28</v>
      </c>
    </row>
    <row r="13" spans="1:6" x14ac:dyDescent="0.25">
      <c r="A13" t="s">
        <v>63</v>
      </c>
      <c r="B13" t="s">
        <v>30</v>
      </c>
      <c r="C13" t="s">
        <v>49</v>
      </c>
      <c r="D13">
        <v>90</v>
      </c>
      <c r="E13">
        <v>40</v>
      </c>
    </row>
    <row r="14" spans="1:6" x14ac:dyDescent="0.25">
      <c r="A14" t="s">
        <v>64</v>
      </c>
      <c r="B14" t="s">
        <v>34</v>
      </c>
      <c r="C14" t="s">
        <v>65</v>
      </c>
      <c r="D14">
        <v>120</v>
      </c>
      <c r="E14">
        <v>35</v>
      </c>
    </row>
    <row r="15" spans="1:6" x14ac:dyDescent="0.25">
      <c r="A15" t="s">
        <v>66</v>
      </c>
      <c r="B15" t="s">
        <v>67</v>
      </c>
      <c r="C15" t="s">
        <v>68</v>
      </c>
      <c r="D15">
        <v>150</v>
      </c>
      <c r="E15">
        <v>15</v>
      </c>
      <c r="F15" t="s">
        <v>46</v>
      </c>
    </row>
    <row r="16" spans="1:6" x14ac:dyDescent="0.25">
      <c r="A16" t="s">
        <v>69</v>
      </c>
      <c r="B16" t="s">
        <v>70</v>
      </c>
      <c r="C16" t="s">
        <v>71</v>
      </c>
      <c r="D16">
        <v>250</v>
      </c>
      <c r="E16">
        <v>20</v>
      </c>
      <c r="F16" t="s">
        <v>46</v>
      </c>
    </row>
    <row r="17" spans="1:6" x14ac:dyDescent="0.25">
      <c r="A17" t="s">
        <v>72</v>
      </c>
      <c r="B17" t="s">
        <v>73</v>
      </c>
      <c r="C17" t="s">
        <v>74</v>
      </c>
      <c r="D17">
        <v>50</v>
      </c>
      <c r="E17">
        <v>35</v>
      </c>
      <c r="F17" t="s">
        <v>75</v>
      </c>
    </row>
    <row r="18" spans="1:6" x14ac:dyDescent="0.25">
      <c r="A18" t="s">
        <v>76</v>
      </c>
      <c r="B18" t="s">
        <v>67</v>
      </c>
      <c r="C18" t="s">
        <v>77</v>
      </c>
      <c r="D18">
        <v>160</v>
      </c>
      <c r="E18">
        <v>15</v>
      </c>
      <c r="F18" t="s">
        <v>46</v>
      </c>
    </row>
    <row r="19" spans="1:6" x14ac:dyDescent="0.25">
      <c r="A19" t="s">
        <v>78</v>
      </c>
      <c r="B19" t="s">
        <v>26</v>
      </c>
      <c r="C19" t="s">
        <v>79</v>
      </c>
      <c r="D19">
        <v>980</v>
      </c>
      <c r="E19">
        <v>10</v>
      </c>
      <c r="F19" t="s">
        <v>28</v>
      </c>
    </row>
    <row r="20" spans="1:6" x14ac:dyDescent="0.25">
      <c r="A20" t="s">
        <v>80</v>
      </c>
      <c r="B20" t="s">
        <v>81</v>
      </c>
      <c r="C20" t="s">
        <v>82</v>
      </c>
      <c r="D20">
        <v>150</v>
      </c>
      <c r="E20">
        <v>15</v>
      </c>
      <c r="F20" t="s">
        <v>32</v>
      </c>
    </row>
    <row r="21" spans="1:6" x14ac:dyDescent="0.25">
      <c r="A21" t="s">
        <v>83</v>
      </c>
      <c r="B21" t="s">
        <v>84</v>
      </c>
      <c r="C21" t="s">
        <v>85</v>
      </c>
      <c r="E21">
        <v>10</v>
      </c>
      <c r="F21" t="s">
        <v>59</v>
      </c>
    </row>
    <row r="22" spans="1:6" x14ac:dyDescent="0.25">
      <c r="A22" t="s">
        <v>86</v>
      </c>
      <c r="B22" t="s">
        <v>87</v>
      </c>
      <c r="C22" t="s">
        <v>88</v>
      </c>
      <c r="D22">
        <v>700</v>
      </c>
      <c r="E22">
        <v>50</v>
      </c>
      <c r="F22" t="s">
        <v>28</v>
      </c>
    </row>
    <row r="23" spans="1:6" x14ac:dyDescent="0.25">
      <c r="A23" t="s">
        <v>89</v>
      </c>
      <c r="B23" t="s">
        <v>90</v>
      </c>
      <c r="C23" t="s">
        <v>91</v>
      </c>
      <c r="D23">
        <v>80</v>
      </c>
      <c r="E23">
        <v>20</v>
      </c>
      <c r="F23" t="s">
        <v>36</v>
      </c>
    </row>
    <row r="24" spans="1:6" x14ac:dyDescent="0.25">
      <c r="A24" t="s">
        <v>92</v>
      </c>
      <c r="B24" t="s">
        <v>93</v>
      </c>
      <c r="C24" t="s">
        <v>94</v>
      </c>
      <c r="D24">
        <v>150</v>
      </c>
      <c r="E24">
        <v>30</v>
      </c>
    </row>
    <row r="25" spans="1:6" x14ac:dyDescent="0.25">
      <c r="A25" t="s">
        <v>95</v>
      </c>
      <c r="B25" t="s">
        <v>96</v>
      </c>
      <c r="C25" t="s">
        <v>97</v>
      </c>
      <c r="D25">
        <v>800</v>
      </c>
      <c r="E25">
        <v>45</v>
      </c>
      <c r="F25" t="s">
        <v>28</v>
      </c>
    </row>
    <row r="26" spans="1:6" x14ac:dyDescent="0.25">
      <c r="A26" t="s">
        <v>98</v>
      </c>
      <c r="B26" t="s">
        <v>81</v>
      </c>
      <c r="C26" t="s">
        <v>99</v>
      </c>
      <c r="E26">
        <v>25</v>
      </c>
      <c r="F26" t="s">
        <v>32</v>
      </c>
    </row>
    <row r="27" spans="1:6" x14ac:dyDescent="0.25">
      <c r="A27" t="s">
        <v>100</v>
      </c>
      <c r="B27" t="s">
        <v>51</v>
      </c>
      <c r="C27" t="s">
        <v>101</v>
      </c>
      <c r="D27">
        <v>400</v>
      </c>
      <c r="E27">
        <v>40</v>
      </c>
      <c r="F27" t="s">
        <v>36</v>
      </c>
    </row>
    <row r="28" spans="1:6" x14ac:dyDescent="0.25">
      <c r="A28" t="s">
        <v>102</v>
      </c>
      <c r="B28" t="s">
        <v>103</v>
      </c>
      <c r="C28" t="s">
        <v>104</v>
      </c>
      <c r="D28">
        <v>60</v>
      </c>
      <c r="E28">
        <v>30</v>
      </c>
      <c r="F28" t="s">
        <v>32</v>
      </c>
    </row>
    <row r="29" spans="1:6" x14ac:dyDescent="0.25">
      <c r="A29" t="s">
        <v>105</v>
      </c>
      <c r="B29" t="s">
        <v>106</v>
      </c>
      <c r="C29" t="s">
        <v>107</v>
      </c>
      <c r="D29">
        <v>40</v>
      </c>
      <c r="E29">
        <v>10</v>
      </c>
      <c r="F29" t="s">
        <v>36</v>
      </c>
    </row>
    <row r="30" spans="1:6" x14ac:dyDescent="0.25">
      <c r="A30" t="s">
        <v>108</v>
      </c>
      <c r="B30" t="s">
        <v>93</v>
      </c>
      <c r="C30" t="s">
        <v>109</v>
      </c>
      <c r="D30">
        <v>130</v>
      </c>
      <c r="E30">
        <v>5</v>
      </c>
      <c r="F30" t="s">
        <v>28</v>
      </c>
    </row>
    <row r="31" spans="1:6" x14ac:dyDescent="0.25">
      <c r="A31" t="s">
        <v>110</v>
      </c>
      <c r="B31" t="s">
        <v>111</v>
      </c>
      <c r="C31" t="s">
        <v>112</v>
      </c>
      <c r="D31">
        <v>50</v>
      </c>
      <c r="E31">
        <v>50</v>
      </c>
      <c r="F31" t="s">
        <v>32</v>
      </c>
    </row>
    <row r="32" spans="1:6" x14ac:dyDescent="0.25">
      <c r="A32" t="s">
        <v>113</v>
      </c>
      <c r="B32" t="s">
        <v>114</v>
      </c>
      <c r="C32" t="s">
        <v>115</v>
      </c>
      <c r="D32">
        <v>100</v>
      </c>
      <c r="E32">
        <v>20</v>
      </c>
      <c r="F3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Duplicate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thilaga vathi</cp:lastModifiedBy>
  <dcterms:created xsi:type="dcterms:W3CDTF">2025-12-11T07:23:19Z</dcterms:created>
  <dcterms:modified xsi:type="dcterms:W3CDTF">2025-12-13T22:31:34Z</dcterms:modified>
</cp:coreProperties>
</file>